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hidePivotFieldList="1"/>
  <mc:AlternateContent xmlns:mc="http://schemas.openxmlformats.org/markup-compatibility/2006">
    <mc:Choice Requires="x15">
      <x15ac:absPath xmlns:x15ac="http://schemas.microsoft.com/office/spreadsheetml/2010/11/ac" url="C:\MY COMPUTER\Yogi\Placement\Projects\GradeCard Visualizer\"/>
    </mc:Choice>
  </mc:AlternateContent>
  <xr:revisionPtr revIDLastSave="0" documentId="13_ncr:1_{DDCF6172-0428-462F-ABE8-3DF836BC696F}" xr6:coauthVersionLast="47" xr6:coauthVersionMax="47" xr10:uidLastSave="{00000000-0000-0000-0000-000000000000}"/>
  <bookViews>
    <workbookView xWindow="-108" yWindow="-108" windowWidth="23256" windowHeight="12456" xr2:uid="{00000000-000D-0000-FFFF-FFFF00000000}"/>
  </bookViews>
  <sheets>
    <sheet name="Dashboard" sheetId="2" r:id="rId1"/>
    <sheet name="Data" sheetId="1" r:id="rId2"/>
    <sheet name="Users" sheetId="3" r:id="rId3"/>
  </sheets>
  <definedNames>
    <definedName name="Slicer_Course_Category">#N/A</definedName>
    <definedName name="Slicer_Grade">#N/A</definedName>
    <definedName name="Slicer_Semeste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2" l="1" a="1"/>
  <c r="B17" i="2" s="1"/>
  <c r="B18" i="2" a="1"/>
  <c r="B18" i="2" s="1"/>
  <c r="B19" i="2" a="1"/>
  <c r="B19" i="2" s="1"/>
  <c r="B20" i="2" a="1"/>
  <c r="B20" i="2" s="1"/>
  <c r="B21" i="2" a="1"/>
  <c r="B21" i="2" s="1"/>
  <c r="B22" i="2" a="1"/>
  <c r="B22" i="2" s="1"/>
  <c r="D22" i="2" s="1"/>
  <c r="B23" i="2" a="1"/>
  <c r="B23" i="2" s="1"/>
  <c r="B24" i="2" a="1"/>
  <c r="B24" i="2" s="1"/>
  <c r="B25" i="2" a="1"/>
  <c r="B25" i="2" s="1"/>
  <c r="B26" i="2" a="1"/>
  <c r="B26" i="2" s="1"/>
  <c r="B27" i="2" a="1"/>
  <c r="B27" i="2" s="1"/>
  <c r="B28" i="2" a="1"/>
  <c r="B28" i="2" s="1"/>
  <c r="B29" i="2" a="1"/>
  <c r="B29" i="2" s="1"/>
  <c r="B30" i="2" a="1"/>
  <c r="B30" i="2" s="1"/>
  <c r="B31" i="2" a="1"/>
  <c r="B31" i="2" s="1"/>
  <c r="B32" i="2" a="1"/>
  <c r="B32" i="2" s="1"/>
  <c r="B33" i="2" a="1"/>
  <c r="B33" i="2" s="1"/>
  <c r="B34" i="2" a="1"/>
  <c r="B34" i="2" s="1"/>
  <c r="B35" i="2" a="1"/>
  <c r="B35" i="2" s="1"/>
  <c r="B36" i="2" a="1"/>
  <c r="B36" i="2" s="1"/>
  <c r="B37" i="2" a="1"/>
  <c r="B37" i="2" s="1"/>
  <c r="B38" i="2" a="1"/>
  <c r="B38" i="2" s="1"/>
  <c r="D38" i="2" s="1"/>
  <c r="B39" i="2" a="1"/>
  <c r="B39" i="2" s="1"/>
  <c r="B40" i="2" a="1"/>
  <c r="B40" i="2" s="1"/>
  <c r="B41" i="2" a="1"/>
  <c r="B41" i="2" s="1"/>
  <c r="B42" i="2" a="1"/>
  <c r="B42" i="2" s="1"/>
  <c r="B43" i="2" a="1"/>
  <c r="B43" i="2" s="1"/>
  <c r="B44" i="2" a="1"/>
  <c r="B44" i="2" s="1"/>
  <c r="B45" i="2" a="1"/>
  <c r="B45" i="2" s="1"/>
  <c r="B46" i="2" a="1"/>
  <c r="B46" i="2" s="1"/>
  <c r="B47" i="2" a="1"/>
  <c r="B47" i="2" s="1"/>
  <c r="B48" i="2" a="1"/>
  <c r="B48" i="2" s="1"/>
  <c r="B49" i="2" a="1"/>
  <c r="B49" i="2" s="1"/>
  <c r="B50" i="2" a="1"/>
  <c r="B50" i="2" s="1"/>
  <c r="B51" i="2" a="1"/>
  <c r="B51" i="2" s="1"/>
  <c r="B52" i="2" a="1"/>
  <c r="B52" i="2" s="1"/>
  <c r="F52" i="2" s="1"/>
  <c r="B53" i="2" a="1"/>
  <c r="B53" i="2" s="1"/>
  <c r="B54" i="2" a="1"/>
  <c r="B54" i="2" s="1"/>
  <c r="D54" i="2" s="1"/>
  <c r="B55" i="2" a="1"/>
  <c r="B55" i="2" s="1"/>
  <c r="B56" i="2" a="1"/>
  <c r="B56" i="2" s="1"/>
  <c r="B57" i="2" a="1"/>
  <c r="B57" i="2" s="1"/>
  <c r="B58" i="2" a="1"/>
  <c r="B58" i="2" s="1"/>
  <c r="C58" i="2" s="1"/>
  <c r="B59" i="2" a="1"/>
  <c r="B59" i="2" s="1"/>
  <c r="B60" i="2" a="1"/>
  <c r="B60" i="2" s="1"/>
  <c r="B61" i="2" a="1"/>
  <c r="B61" i="2" s="1"/>
  <c r="B62" i="2" a="1"/>
  <c r="B62" i="2" s="1"/>
  <c r="B63" i="2" a="1"/>
  <c r="B63" i="2" s="1"/>
  <c r="B64" i="2" a="1"/>
  <c r="B64" i="2" s="1"/>
  <c r="B65" i="2" a="1"/>
  <c r="B65" i="2" s="1"/>
  <c r="B66" i="2" a="1"/>
  <c r="B66" i="2" s="1"/>
  <c r="B67" i="2" a="1"/>
  <c r="B67" i="2" s="1"/>
  <c r="B68" i="2" a="1"/>
  <c r="B68" i="2" s="1"/>
  <c r="B69" i="2" a="1"/>
  <c r="B69" i="2" s="1"/>
  <c r="B70" i="2" a="1"/>
  <c r="B70" i="2" s="1"/>
  <c r="D70" i="2" s="1"/>
  <c r="B71" i="2" a="1"/>
  <c r="B71" i="2" s="1"/>
  <c r="B72" i="2" a="1"/>
  <c r="B72" i="2" s="1"/>
  <c r="B73" i="2" a="1"/>
  <c r="B73" i="2" s="1"/>
  <c r="B74" i="2" a="1"/>
  <c r="B74" i="2" s="1"/>
  <c r="B75" i="2" a="1"/>
  <c r="B75" i="2" s="1"/>
  <c r="B76" i="2" a="1"/>
  <c r="B76" i="2" s="1"/>
  <c r="B77" i="2" a="1"/>
  <c r="B77" i="2" s="1"/>
  <c r="B78" i="2" a="1"/>
  <c r="B78" i="2" s="1"/>
  <c r="B79" i="2" a="1"/>
  <c r="B79" i="2" s="1"/>
  <c r="B80" i="2" a="1"/>
  <c r="B80" i="2" s="1"/>
  <c r="B81" i="2" a="1"/>
  <c r="B81" i="2" s="1"/>
  <c r="B82" i="2" a="1"/>
  <c r="B82" i="2" s="1"/>
  <c r="B83" i="2" a="1"/>
  <c r="B83" i="2" s="1"/>
  <c r="B84" i="2" a="1"/>
  <c r="B84" i="2" s="1"/>
  <c r="B85" i="2" a="1"/>
  <c r="B85" i="2" s="1"/>
  <c r="B86" i="2" a="1"/>
  <c r="B86" i="2" s="1"/>
  <c r="E86" i="2" s="1"/>
  <c r="B87" i="2" a="1"/>
  <c r="B87" i="2" s="1"/>
  <c r="B88" i="2" a="1"/>
  <c r="B88" i="2" s="1"/>
  <c r="B89" i="2" a="1"/>
  <c r="B89" i="2" s="1"/>
  <c r="B90" i="2" a="1"/>
  <c r="B90" i="2" s="1"/>
  <c r="B91" i="2" a="1"/>
  <c r="B91" i="2" s="1"/>
  <c r="B92" i="2" a="1"/>
  <c r="B92" i="2" s="1"/>
  <c r="B93" i="2" a="1"/>
  <c r="B93" i="2" s="1"/>
  <c r="B94" i="2" a="1"/>
  <c r="B94" i="2" s="1"/>
  <c r="B95" i="2" a="1"/>
  <c r="B95" i="2" s="1"/>
  <c r="B96" i="2" a="1"/>
  <c r="B96" i="2" s="1"/>
  <c r="B97" i="2" a="1"/>
  <c r="B97" i="2" s="1"/>
  <c r="B98" i="2" a="1"/>
  <c r="B98" i="2" s="1"/>
  <c r="B99" i="2" a="1"/>
  <c r="B99" i="2" s="1"/>
  <c r="B100" i="2" a="1"/>
  <c r="B100" i="2" s="1"/>
  <c r="B101" i="2" a="1"/>
  <c r="B101" i="2" s="1"/>
  <c r="B102" i="2" a="1"/>
  <c r="B102" i="2" s="1"/>
  <c r="B103" i="2" a="1"/>
  <c r="B103" i="2" s="1"/>
  <c r="B104" i="2" a="1"/>
  <c r="B104" i="2" s="1"/>
  <c r="B105" i="2" a="1"/>
  <c r="B105" i="2" s="1"/>
  <c r="B106" i="2" a="1"/>
  <c r="B106" i="2" s="1"/>
  <c r="B107" i="2" a="1"/>
  <c r="B107" i="2" s="1"/>
  <c r="B108" i="2" a="1"/>
  <c r="B108" i="2" s="1"/>
  <c r="B109" i="2" a="1"/>
  <c r="B109" i="2" s="1"/>
  <c r="B110" i="2" a="1"/>
  <c r="B110" i="2" s="1"/>
  <c r="D3" i="2"/>
  <c r="M21" i="2" a="1"/>
  <c r="M21" i="2" s="1"/>
  <c r="M2" i="2"/>
  <c r="N21" i="2" a="1"/>
  <c r="N21" i="2" s="1"/>
  <c r="M22" i="2" a="1"/>
  <c r="M22" i="2" s="1"/>
  <c r="N22" i="2" a="1"/>
  <c r="N22" i="2" s="1"/>
  <c r="M23" i="2" a="1"/>
  <c r="M23" i="2" s="1"/>
  <c r="N23" i="2" a="1"/>
  <c r="N23" i="2" s="1"/>
  <c r="M3" i="2"/>
  <c r="L23" i="2" a="1"/>
  <c r="L23" i="2" s="1"/>
  <c r="L22" i="2" a="1"/>
  <c r="L22" i="2" s="1"/>
  <c r="M17" i="2" a="1"/>
  <c r="M17" i="2" s="1"/>
  <c r="N17" i="2" a="1"/>
  <c r="N17" i="2" s="1"/>
  <c r="M18" i="2" a="1"/>
  <c r="M18" i="2" s="1"/>
  <c r="N18" i="2" a="1"/>
  <c r="N18" i="2" s="1"/>
  <c r="M19" i="2" a="1"/>
  <c r="M19" i="2" s="1"/>
  <c r="N19" i="2" a="1"/>
  <c r="N19" i="2" s="1"/>
  <c r="M20" i="2" a="1"/>
  <c r="M20" i="2" s="1"/>
  <c r="N20" i="2" a="1"/>
  <c r="N20" i="2" s="1"/>
  <c r="N16" i="2" a="1"/>
  <c r="N16" i="2" s="1"/>
  <c r="M16" i="2" a="1"/>
  <c r="M16" i="2" s="1"/>
  <c r="L17" i="2" a="1"/>
  <c r="L17" i="2" s="1"/>
  <c r="L18" i="2" a="1"/>
  <c r="L18" i="2" s="1"/>
  <c r="L19" i="2" a="1"/>
  <c r="L19" i="2" s="1"/>
  <c r="L20" i="2" a="1"/>
  <c r="L20" i="2" s="1"/>
  <c r="L21" i="2" a="1"/>
  <c r="L21" i="2" s="1"/>
  <c r="L16" i="2" a="1"/>
  <c r="L16" i="2" s="1"/>
  <c r="B16" i="2" a="1"/>
  <c r="B16" i="2" s="1"/>
  <c r="F16" i="2" s="1"/>
  <c r="G27" i="2" l="1"/>
  <c r="C27" i="2"/>
  <c r="E27" i="2"/>
  <c r="F27" i="2"/>
  <c r="C26" i="2"/>
  <c r="I26" i="2"/>
  <c r="I25" i="2"/>
  <c r="H25" i="2"/>
  <c r="D25" i="2"/>
  <c r="E25" i="2"/>
  <c r="G25" i="2"/>
  <c r="F20" i="2"/>
  <c r="D20" i="2"/>
  <c r="C42" i="2"/>
  <c r="D42" i="2"/>
  <c r="F42" i="2"/>
  <c r="D58" i="2"/>
  <c r="G59" i="2"/>
  <c r="C59" i="2"/>
  <c r="E59" i="2"/>
  <c r="C72" i="2"/>
  <c r="H72" i="2"/>
  <c r="H91" i="2"/>
  <c r="C91" i="2"/>
  <c r="E91" i="2"/>
  <c r="C89" i="2"/>
  <c r="D89" i="2"/>
  <c r="E89" i="2"/>
  <c r="F89" i="2"/>
  <c r="G89" i="2"/>
  <c r="I89" i="2"/>
  <c r="C88" i="2"/>
  <c r="H88" i="2"/>
  <c r="G84" i="2"/>
  <c r="D84" i="2"/>
  <c r="C74" i="2"/>
  <c r="I74" i="2"/>
  <c r="D74" i="2"/>
  <c r="F74" i="2"/>
  <c r="C44" i="2"/>
  <c r="D44" i="2"/>
  <c r="G44" i="2"/>
  <c r="I44" i="2"/>
  <c r="C104" i="2"/>
  <c r="H104" i="2"/>
  <c r="I73" i="2"/>
  <c r="E73" i="2"/>
  <c r="G73" i="2"/>
  <c r="G43" i="2"/>
  <c r="C43" i="2"/>
  <c r="E43" i="2"/>
  <c r="I57" i="2"/>
  <c r="D57" i="2"/>
  <c r="E57" i="2"/>
  <c r="G57" i="2"/>
  <c r="I41" i="2"/>
  <c r="D41" i="2"/>
  <c r="E41" i="2"/>
  <c r="G41" i="2"/>
  <c r="F58" i="2"/>
  <c r="I42" i="2"/>
  <c r="I58" i="2"/>
  <c r="C94" i="2"/>
  <c r="H94" i="2"/>
  <c r="I94" i="2"/>
  <c r="C76" i="2"/>
  <c r="I76" i="2"/>
  <c r="D76" i="2"/>
  <c r="G76" i="2"/>
  <c r="G107" i="2"/>
  <c r="E107" i="2"/>
  <c r="C107" i="2"/>
  <c r="D107" i="2"/>
  <c r="G75" i="2"/>
  <c r="C75" i="2"/>
  <c r="E75" i="2"/>
  <c r="C92" i="2"/>
  <c r="D92" i="2"/>
  <c r="G92" i="2"/>
  <c r="I92" i="2"/>
  <c r="C105" i="2"/>
  <c r="G105" i="2"/>
  <c r="I105" i="2"/>
  <c r="D105" i="2"/>
  <c r="E105" i="2"/>
  <c r="F105" i="2"/>
  <c r="C90" i="2"/>
  <c r="D90" i="2"/>
  <c r="I90" i="2"/>
  <c r="F90" i="2"/>
  <c r="F36" i="2"/>
  <c r="D36" i="2"/>
  <c r="E108" i="2"/>
  <c r="D108" i="2"/>
  <c r="G108" i="2"/>
  <c r="I108" i="2"/>
  <c r="C108" i="2"/>
  <c r="F68" i="2"/>
  <c r="D68" i="2"/>
  <c r="D32" i="2"/>
  <c r="E32" i="2"/>
  <c r="F32" i="2"/>
  <c r="G32" i="2"/>
  <c r="H32" i="2"/>
  <c r="I32" i="2"/>
  <c r="C32" i="2"/>
  <c r="C106" i="2"/>
  <c r="D106" i="2"/>
  <c r="F106" i="2"/>
  <c r="I106" i="2"/>
  <c r="E106" i="2"/>
  <c r="C46" i="2"/>
  <c r="E46" i="2"/>
  <c r="G46" i="2"/>
  <c r="H46" i="2"/>
  <c r="C62" i="2"/>
  <c r="G62" i="2"/>
  <c r="H62" i="2"/>
  <c r="C56" i="2"/>
  <c r="H56" i="2"/>
  <c r="C60" i="2"/>
  <c r="D60" i="2"/>
  <c r="G60" i="2"/>
  <c r="I60" i="2"/>
  <c r="C78" i="2"/>
  <c r="H78" i="2"/>
  <c r="D91" i="2"/>
  <c r="D52" i="2"/>
  <c r="I37" i="2"/>
  <c r="C37" i="2"/>
  <c r="D37" i="2"/>
  <c r="E37" i="2"/>
  <c r="F37" i="2"/>
  <c r="G37" i="2"/>
  <c r="H37" i="2"/>
  <c r="H30" i="2"/>
  <c r="C30" i="2"/>
  <c r="D30" i="2"/>
  <c r="E30" i="2"/>
  <c r="F30" i="2"/>
  <c r="G30" i="2"/>
  <c r="I30" i="2"/>
  <c r="F48" i="2"/>
  <c r="H48" i="2"/>
  <c r="C48" i="2"/>
  <c r="D48" i="2"/>
  <c r="E48" i="2"/>
  <c r="G48" i="2"/>
  <c r="I48" i="2"/>
  <c r="E29" i="2"/>
  <c r="F29" i="2"/>
  <c r="G29" i="2"/>
  <c r="H29" i="2"/>
  <c r="C29" i="2"/>
  <c r="I29" i="2"/>
  <c r="D29" i="2"/>
  <c r="C24" i="2"/>
  <c r="D24" i="2"/>
  <c r="E24" i="2"/>
  <c r="F24" i="2"/>
  <c r="G24" i="2"/>
  <c r="H24" i="2"/>
  <c r="I24" i="2"/>
  <c r="I82" i="2"/>
  <c r="F82" i="2"/>
  <c r="D82" i="2"/>
  <c r="C82" i="2"/>
  <c r="E82" i="2"/>
  <c r="G82" i="2"/>
  <c r="H82" i="2"/>
  <c r="G71" i="2"/>
  <c r="D71" i="2"/>
  <c r="C71" i="2"/>
  <c r="E71" i="2"/>
  <c r="F71" i="2"/>
  <c r="I71" i="2"/>
  <c r="H71" i="2"/>
  <c r="F93" i="2"/>
  <c r="I93" i="2"/>
  <c r="G93" i="2"/>
  <c r="H93" i="2"/>
  <c r="C93" i="2"/>
  <c r="D93" i="2"/>
  <c r="E93" i="2"/>
  <c r="C35" i="2"/>
  <c r="D35" i="2"/>
  <c r="E35" i="2"/>
  <c r="F35" i="2"/>
  <c r="G35" i="2"/>
  <c r="H35" i="2"/>
  <c r="I35" i="2"/>
  <c r="H50" i="2"/>
  <c r="I50" i="2"/>
  <c r="D50" i="2"/>
  <c r="F50" i="2"/>
  <c r="C50" i="2"/>
  <c r="E50" i="2"/>
  <c r="G50" i="2"/>
  <c r="C31" i="2"/>
  <c r="D31" i="2"/>
  <c r="E31" i="2"/>
  <c r="F31" i="2"/>
  <c r="G31" i="2"/>
  <c r="H31" i="2"/>
  <c r="I31" i="2"/>
  <c r="C49" i="2"/>
  <c r="D49" i="2"/>
  <c r="E49" i="2"/>
  <c r="F49" i="2"/>
  <c r="G49" i="2"/>
  <c r="H49" i="2"/>
  <c r="I49" i="2"/>
  <c r="H34" i="2"/>
  <c r="I34" i="2"/>
  <c r="D34" i="2"/>
  <c r="F34" i="2"/>
  <c r="C34" i="2"/>
  <c r="E34" i="2"/>
  <c r="G34" i="2"/>
  <c r="C21" i="2"/>
  <c r="I21" i="2"/>
  <c r="D21" i="2"/>
  <c r="E21" i="2"/>
  <c r="F21" i="2"/>
  <c r="G21" i="2"/>
  <c r="H21" i="2"/>
  <c r="D95" i="2"/>
  <c r="G95" i="2"/>
  <c r="E95" i="2"/>
  <c r="F95" i="2"/>
  <c r="H95" i="2"/>
  <c r="I95" i="2"/>
  <c r="C95" i="2"/>
  <c r="E61" i="2"/>
  <c r="F61" i="2"/>
  <c r="G61" i="2"/>
  <c r="H61" i="2"/>
  <c r="I61" i="2"/>
  <c r="C61" i="2"/>
  <c r="D61" i="2"/>
  <c r="C33" i="2"/>
  <c r="D33" i="2"/>
  <c r="E33" i="2"/>
  <c r="F33" i="2"/>
  <c r="G33" i="2"/>
  <c r="H33" i="2"/>
  <c r="I33" i="2"/>
  <c r="C40" i="2"/>
  <c r="D40" i="2"/>
  <c r="E40" i="2"/>
  <c r="F40" i="2"/>
  <c r="G40" i="2"/>
  <c r="H40" i="2"/>
  <c r="I40" i="2"/>
  <c r="E83" i="2"/>
  <c r="C83" i="2"/>
  <c r="D83" i="2"/>
  <c r="F83" i="2"/>
  <c r="G83" i="2"/>
  <c r="H83" i="2"/>
  <c r="I83" i="2"/>
  <c r="C28" i="2"/>
  <c r="D28" i="2"/>
  <c r="E28" i="2"/>
  <c r="F28" i="2"/>
  <c r="G28" i="2"/>
  <c r="H28" i="2"/>
  <c r="I28" i="2"/>
  <c r="I103" i="2"/>
  <c r="H103" i="2"/>
  <c r="G103" i="2"/>
  <c r="D103" i="2"/>
  <c r="C103" i="2"/>
  <c r="E103" i="2"/>
  <c r="F103" i="2"/>
  <c r="C81" i="2"/>
  <c r="D81" i="2"/>
  <c r="G81" i="2"/>
  <c r="E81" i="2"/>
  <c r="F81" i="2"/>
  <c r="H81" i="2"/>
  <c r="I81" i="2"/>
  <c r="H80" i="2"/>
  <c r="F80" i="2"/>
  <c r="C80" i="2"/>
  <c r="D80" i="2"/>
  <c r="E80" i="2"/>
  <c r="G80" i="2"/>
  <c r="I80" i="2"/>
  <c r="I101" i="2"/>
  <c r="C101" i="2"/>
  <c r="D101" i="2"/>
  <c r="F101" i="2"/>
  <c r="E101" i="2"/>
  <c r="G101" i="2"/>
  <c r="H101" i="2"/>
  <c r="H66" i="2"/>
  <c r="I66" i="2"/>
  <c r="D66" i="2"/>
  <c r="F66" i="2"/>
  <c r="C66" i="2"/>
  <c r="E66" i="2"/>
  <c r="G66" i="2"/>
  <c r="E45" i="2"/>
  <c r="F45" i="2"/>
  <c r="G45" i="2"/>
  <c r="H45" i="2"/>
  <c r="C45" i="2"/>
  <c r="I45" i="2"/>
  <c r="D45" i="2"/>
  <c r="G39" i="2"/>
  <c r="I39" i="2"/>
  <c r="C39" i="2"/>
  <c r="D39" i="2"/>
  <c r="E39" i="2"/>
  <c r="F39" i="2"/>
  <c r="H39" i="2"/>
  <c r="I85" i="2"/>
  <c r="C85" i="2"/>
  <c r="D85" i="2"/>
  <c r="H85" i="2"/>
  <c r="E85" i="2"/>
  <c r="F85" i="2"/>
  <c r="G85" i="2"/>
  <c r="C51" i="2"/>
  <c r="D51" i="2"/>
  <c r="E51" i="2"/>
  <c r="F51" i="2"/>
  <c r="G51" i="2"/>
  <c r="H51" i="2"/>
  <c r="I51" i="2"/>
  <c r="C79" i="2"/>
  <c r="D79" i="2"/>
  <c r="E79" i="2"/>
  <c r="F79" i="2"/>
  <c r="I79" i="2"/>
  <c r="G79" i="2"/>
  <c r="H79" i="2"/>
  <c r="H110" i="2"/>
  <c r="I110" i="2"/>
  <c r="C110" i="2"/>
  <c r="D110" i="2"/>
  <c r="E110" i="2"/>
  <c r="F110" i="2"/>
  <c r="G110" i="2"/>
  <c r="F100" i="2"/>
  <c r="G100" i="2"/>
  <c r="H100" i="2"/>
  <c r="I100" i="2"/>
  <c r="D100" i="2"/>
  <c r="C100" i="2"/>
  <c r="E100" i="2"/>
  <c r="C65" i="2"/>
  <c r="D65" i="2"/>
  <c r="E65" i="2"/>
  <c r="F65" i="2"/>
  <c r="G65" i="2"/>
  <c r="H65" i="2"/>
  <c r="I65" i="2"/>
  <c r="C19" i="2"/>
  <c r="D19" i="2"/>
  <c r="E19" i="2"/>
  <c r="F19" i="2"/>
  <c r="G19" i="2"/>
  <c r="H19" i="2"/>
  <c r="I19" i="2"/>
  <c r="G97" i="2"/>
  <c r="C97" i="2"/>
  <c r="E97" i="2"/>
  <c r="D97" i="2"/>
  <c r="F97" i="2"/>
  <c r="H97" i="2"/>
  <c r="I97" i="2"/>
  <c r="F64" i="2"/>
  <c r="C64" i="2"/>
  <c r="D64" i="2"/>
  <c r="H64" i="2"/>
  <c r="E64" i="2"/>
  <c r="G64" i="2"/>
  <c r="I64" i="2"/>
  <c r="I53" i="2"/>
  <c r="C53" i="2"/>
  <c r="D53" i="2"/>
  <c r="E53" i="2"/>
  <c r="F53" i="2"/>
  <c r="G53" i="2"/>
  <c r="H53" i="2"/>
  <c r="H18" i="2"/>
  <c r="I18" i="2"/>
  <c r="F18" i="2"/>
  <c r="C18" i="2"/>
  <c r="D18" i="2"/>
  <c r="E18" i="2"/>
  <c r="G18" i="2"/>
  <c r="C47" i="2"/>
  <c r="D47" i="2"/>
  <c r="E47" i="2"/>
  <c r="F47" i="2"/>
  <c r="G47" i="2"/>
  <c r="H47" i="2"/>
  <c r="I47" i="2"/>
  <c r="I23" i="2"/>
  <c r="C23" i="2"/>
  <c r="D23" i="2"/>
  <c r="E23" i="2"/>
  <c r="G23" i="2"/>
  <c r="F23" i="2"/>
  <c r="H23" i="2"/>
  <c r="I69" i="2"/>
  <c r="C69" i="2"/>
  <c r="D69" i="2"/>
  <c r="E69" i="2"/>
  <c r="F69" i="2"/>
  <c r="G69" i="2"/>
  <c r="H69" i="2"/>
  <c r="D102" i="2"/>
  <c r="E102" i="2"/>
  <c r="F102" i="2"/>
  <c r="G102" i="2"/>
  <c r="H102" i="2"/>
  <c r="I102" i="2"/>
  <c r="C102" i="2"/>
  <c r="C67" i="2"/>
  <c r="D67" i="2"/>
  <c r="E67" i="2"/>
  <c r="F67" i="2"/>
  <c r="H67" i="2"/>
  <c r="G67" i="2"/>
  <c r="I67" i="2"/>
  <c r="G55" i="2"/>
  <c r="I55" i="2"/>
  <c r="C55" i="2"/>
  <c r="D55" i="2"/>
  <c r="E55" i="2"/>
  <c r="F55" i="2"/>
  <c r="H55" i="2"/>
  <c r="E109" i="2"/>
  <c r="F109" i="2"/>
  <c r="G109" i="2"/>
  <c r="H109" i="2"/>
  <c r="I109" i="2"/>
  <c r="C109" i="2"/>
  <c r="D109" i="2"/>
  <c r="E99" i="2"/>
  <c r="C99" i="2"/>
  <c r="D99" i="2"/>
  <c r="F99" i="2"/>
  <c r="H99" i="2"/>
  <c r="G99" i="2"/>
  <c r="I99" i="2"/>
  <c r="H98" i="2"/>
  <c r="I98" i="2"/>
  <c r="F98" i="2"/>
  <c r="D98" i="2"/>
  <c r="C98" i="2"/>
  <c r="E98" i="2"/>
  <c r="G98" i="2"/>
  <c r="E77" i="2"/>
  <c r="F77" i="2"/>
  <c r="C77" i="2"/>
  <c r="G77" i="2"/>
  <c r="H77" i="2"/>
  <c r="I77" i="2"/>
  <c r="D77" i="2"/>
  <c r="F96" i="2"/>
  <c r="H96" i="2"/>
  <c r="E96" i="2"/>
  <c r="C96" i="2"/>
  <c r="D96" i="2"/>
  <c r="G96" i="2"/>
  <c r="I96" i="2"/>
  <c r="I87" i="2"/>
  <c r="G87" i="2"/>
  <c r="C87" i="2"/>
  <c r="D87" i="2"/>
  <c r="E87" i="2"/>
  <c r="F87" i="2"/>
  <c r="H87" i="2"/>
  <c r="C63" i="2"/>
  <c r="D63" i="2"/>
  <c r="E63" i="2"/>
  <c r="F63" i="2"/>
  <c r="G63" i="2"/>
  <c r="H63" i="2"/>
  <c r="I63" i="2"/>
  <c r="C17" i="2"/>
  <c r="D17" i="2"/>
  <c r="E17" i="2"/>
  <c r="F17" i="2"/>
  <c r="G17" i="2"/>
  <c r="H17" i="2"/>
  <c r="I17" i="2"/>
  <c r="G91" i="2"/>
  <c r="D86" i="2"/>
  <c r="F84" i="2"/>
  <c r="F107" i="2"/>
  <c r="H105" i="2"/>
  <c r="F91" i="2"/>
  <c r="H89" i="2"/>
  <c r="C86" i="2"/>
  <c r="E84" i="2"/>
  <c r="F75" i="2"/>
  <c r="H73" i="2"/>
  <c r="C70" i="2"/>
  <c r="E68" i="2"/>
  <c r="F59" i="2"/>
  <c r="H57" i="2"/>
  <c r="C54" i="2"/>
  <c r="E52" i="2"/>
  <c r="F43" i="2"/>
  <c r="H41" i="2"/>
  <c r="C38" i="2"/>
  <c r="E36" i="2"/>
  <c r="C22" i="2"/>
  <c r="E20" i="2"/>
  <c r="C84" i="2"/>
  <c r="I78" i="2"/>
  <c r="D75" i="2"/>
  <c r="F73" i="2"/>
  <c r="C68" i="2"/>
  <c r="I62" i="2"/>
  <c r="D59" i="2"/>
  <c r="F57" i="2"/>
  <c r="C52" i="2"/>
  <c r="I46" i="2"/>
  <c r="D43" i="2"/>
  <c r="F41" i="2"/>
  <c r="C36" i="2"/>
  <c r="D27" i="2"/>
  <c r="F25" i="2"/>
  <c r="C20" i="2"/>
  <c r="G78" i="2"/>
  <c r="D73" i="2"/>
  <c r="H108" i="2"/>
  <c r="F94" i="2"/>
  <c r="H92" i="2"/>
  <c r="F78" i="2"/>
  <c r="H76" i="2"/>
  <c r="C73" i="2"/>
  <c r="F62" i="2"/>
  <c r="H60" i="2"/>
  <c r="C57" i="2"/>
  <c r="F46" i="2"/>
  <c r="H44" i="2"/>
  <c r="C41" i="2"/>
  <c r="C25" i="2"/>
  <c r="E78" i="2"/>
  <c r="E62" i="2"/>
  <c r="E94" i="2"/>
  <c r="F108" i="2"/>
  <c r="D94" i="2"/>
  <c r="F92" i="2"/>
  <c r="H90" i="2"/>
  <c r="D78" i="2"/>
  <c r="F76" i="2"/>
  <c r="H74" i="2"/>
  <c r="D62" i="2"/>
  <c r="F60" i="2"/>
  <c r="H58" i="2"/>
  <c r="D46" i="2"/>
  <c r="F44" i="2"/>
  <c r="H42" i="2"/>
  <c r="H26" i="2"/>
  <c r="G94" i="2"/>
  <c r="H106" i="2"/>
  <c r="G106" i="2"/>
  <c r="I104" i="2"/>
  <c r="E92" i="2"/>
  <c r="G90" i="2"/>
  <c r="I88" i="2"/>
  <c r="E76" i="2"/>
  <c r="G74" i="2"/>
  <c r="I72" i="2"/>
  <c r="E60" i="2"/>
  <c r="G58" i="2"/>
  <c r="I56" i="2"/>
  <c r="E44" i="2"/>
  <c r="G42" i="2"/>
  <c r="G26" i="2"/>
  <c r="F26" i="2"/>
  <c r="E90" i="2"/>
  <c r="G88" i="2"/>
  <c r="I86" i="2"/>
  <c r="E74" i="2"/>
  <c r="G72" i="2"/>
  <c r="I70" i="2"/>
  <c r="E58" i="2"/>
  <c r="G56" i="2"/>
  <c r="I54" i="2"/>
  <c r="E42" i="2"/>
  <c r="I38" i="2"/>
  <c r="E26" i="2"/>
  <c r="I22" i="2"/>
  <c r="F72" i="2"/>
  <c r="H70" i="2"/>
  <c r="F56" i="2"/>
  <c r="H54" i="2"/>
  <c r="H38" i="2"/>
  <c r="D26" i="2"/>
  <c r="H22" i="2"/>
  <c r="G104" i="2"/>
  <c r="F104" i="2"/>
  <c r="F88" i="2"/>
  <c r="H86" i="2"/>
  <c r="E104" i="2"/>
  <c r="E88" i="2"/>
  <c r="G86" i="2"/>
  <c r="I84" i="2"/>
  <c r="E72" i="2"/>
  <c r="G70" i="2"/>
  <c r="I68" i="2"/>
  <c r="E56" i="2"/>
  <c r="G54" i="2"/>
  <c r="I52" i="2"/>
  <c r="G38" i="2"/>
  <c r="I36" i="2"/>
  <c r="G22" i="2"/>
  <c r="I20" i="2"/>
  <c r="I91" i="2"/>
  <c r="D88" i="2"/>
  <c r="F86" i="2"/>
  <c r="H84" i="2"/>
  <c r="I75" i="2"/>
  <c r="D72" i="2"/>
  <c r="F70" i="2"/>
  <c r="H68" i="2"/>
  <c r="I59" i="2"/>
  <c r="D56" i="2"/>
  <c r="F54" i="2"/>
  <c r="H52" i="2"/>
  <c r="I43" i="2"/>
  <c r="F38" i="2"/>
  <c r="H36" i="2"/>
  <c r="I27" i="2"/>
  <c r="F22" i="2"/>
  <c r="H20" i="2"/>
  <c r="I107" i="2"/>
  <c r="D104" i="2"/>
  <c r="H107" i="2"/>
  <c r="H75" i="2"/>
  <c r="E70" i="2"/>
  <c r="G68" i="2"/>
  <c r="H59" i="2"/>
  <c r="E54" i="2"/>
  <c r="G52" i="2"/>
  <c r="H43" i="2"/>
  <c r="E38" i="2"/>
  <c r="G36" i="2"/>
  <c r="H27" i="2"/>
  <c r="E22" i="2"/>
  <c r="G20" i="2"/>
  <c r="D16" i="2"/>
  <c r="E16" i="2"/>
  <c r="G16" i="2"/>
  <c r="H16" i="2"/>
  <c r="I16" i="2"/>
  <c r="C1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<sst xmlns="http://schemas.openxmlformats.org/spreadsheetml/2006/main" count="297" uniqueCount="144">
  <si>
    <t>SNo</t>
  </si>
  <si>
    <t>Course No</t>
  </si>
  <si>
    <t>Course Title</t>
  </si>
  <si>
    <t>Course Category</t>
  </si>
  <si>
    <t>Credit</t>
  </si>
  <si>
    <t>Grade</t>
  </si>
  <si>
    <t>Attend</t>
  </si>
  <si>
    <t>First Semester (JUL-NOV 2021)</t>
  </si>
  <si>
    <t>GN1101</t>
  </si>
  <si>
    <t>Life Skills 1</t>
  </si>
  <si>
    <t>Science</t>
  </si>
  <si>
    <t>P</t>
  </si>
  <si>
    <t>Ecology and Environment</t>
  </si>
  <si>
    <t>VG</t>
  </si>
  <si>
    <t>MA1101</t>
  </si>
  <si>
    <t>Functions of Several Variables</t>
  </si>
  <si>
    <t>C</t>
  </si>
  <si>
    <t>ME1480</t>
  </si>
  <si>
    <t>Engineering Drawing</t>
  </si>
  <si>
    <t>Engineering</t>
  </si>
  <si>
    <t>B</t>
  </si>
  <si>
    <t>PH1010</t>
  </si>
  <si>
    <t>Physics I</t>
  </si>
  <si>
    <t>D</t>
  </si>
  <si>
    <t>Second Semester (JAN-MAY 2022)</t>
  </si>
  <si>
    <t>Engineering Mechanics</t>
  </si>
  <si>
    <t>CE1010</t>
  </si>
  <si>
    <t>Introduction to Civil Engineering Profession</t>
  </si>
  <si>
    <t>Professional</t>
  </si>
  <si>
    <t>A</t>
  </si>
  <si>
    <t>CE2330</t>
  </si>
  <si>
    <t>CS1100</t>
  </si>
  <si>
    <t>Introduction to Programming</t>
  </si>
  <si>
    <t>CY1001#</t>
  </si>
  <si>
    <t>Chemistry I: Structure, Bonding &amp; Reactivity</t>
  </si>
  <si>
    <t>GN1102</t>
  </si>
  <si>
    <t>Life Skills 2</t>
  </si>
  <si>
    <t>MA1102</t>
  </si>
  <si>
    <t>Series and Matrices</t>
  </si>
  <si>
    <t>PH1020</t>
  </si>
  <si>
    <t>Physics II</t>
  </si>
  <si>
    <t>Physics Laboratory I</t>
  </si>
  <si>
    <t>Summer (SUMMER 2022)</t>
  </si>
  <si>
    <t>CY1002</t>
  </si>
  <si>
    <t>Third Semester (JUL-NOV 2022)</t>
  </si>
  <si>
    <t>CE2040</t>
  </si>
  <si>
    <t>Hydraulic Engineering</t>
  </si>
  <si>
    <t>CE2080</t>
  </si>
  <si>
    <t>Surveying</t>
  </si>
  <si>
    <t>CE2310</t>
  </si>
  <si>
    <t>Mechanics of materials</t>
  </si>
  <si>
    <t>S</t>
  </si>
  <si>
    <t>CE3015</t>
  </si>
  <si>
    <t>MA2020</t>
  </si>
  <si>
    <t>Differential Equations</t>
  </si>
  <si>
    <t>Fourth Semester (JAN-MAY 2023)</t>
  </si>
  <si>
    <t>CE2020</t>
  </si>
  <si>
    <t>Structural Analysis</t>
  </si>
  <si>
    <t>CE2060</t>
  </si>
  <si>
    <t>Geotechnical Engineering I</t>
  </si>
  <si>
    <t>CE3025</t>
  </si>
  <si>
    <t>Traffic Engineering</t>
  </si>
  <si>
    <t>CE3040</t>
  </si>
  <si>
    <t>Environmental Engineering</t>
  </si>
  <si>
    <t>Humanities</t>
  </si>
  <si>
    <t>Fifth Semester (JUL-NOV 2023)</t>
  </si>
  <si>
    <t>BT1010</t>
  </si>
  <si>
    <t>Life Sciences</t>
  </si>
  <si>
    <t>CE3030</t>
  </si>
  <si>
    <t>Water Resources Engineering</t>
  </si>
  <si>
    <t>CE3060</t>
  </si>
  <si>
    <t>Basic design of reinforced concrete structures</t>
  </si>
  <si>
    <t>CE3350</t>
  </si>
  <si>
    <t>Geotechnical Engineering II</t>
  </si>
  <si>
    <t>ce3410</t>
  </si>
  <si>
    <t>Construction Materials Laboratory</t>
  </si>
  <si>
    <t>CE4030</t>
  </si>
  <si>
    <t>Hydraulic and Environmental Engineering Lab</t>
  </si>
  <si>
    <t>Cumulative Grade Point Average(CGPA) Summary</t>
  </si>
  <si>
    <t>cat</t>
  </si>
  <si>
    <t>Others</t>
  </si>
  <si>
    <t>Er.Cr</t>
  </si>
  <si>
    <t>ce21b070</t>
  </si>
  <si>
    <t xml:space="preserve">Science </t>
  </si>
  <si>
    <t xml:space="preserve">G </t>
  </si>
  <si>
    <t xml:space="preserve">ID1200 </t>
  </si>
  <si>
    <t xml:space="preserve">Engineering </t>
  </si>
  <si>
    <t xml:space="preserve">Professional </t>
  </si>
  <si>
    <t xml:space="preserve">Civil Engineering Materials and Construction </t>
  </si>
  <si>
    <t xml:space="preserve">PH1030 </t>
  </si>
  <si>
    <t xml:space="preserve">Chemistry Lab I </t>
  </si>
  <si>
    <t xml:space="preserve">Highway Engineering </t>
  </si>
  <si>
    <t xml:space="preserve">M </t>
  </si>
  <si>
    <t xml:space="preserve">Humanities </t>
  </si>
  <si>
    <t>Username</t>
  </si>
  <si>
    <t>Password</t>
  </si>
  <si>
    <t>Student Name</t>
  </si>
  <si>
    <t>Roll Number</t>
  </si>
  <si>
    <t>S. No.</t>
  </si>
  <si>
    <t>E</t>
  </si>
  <si>
    <t>U</t>
  </si>
  <si>
    <t>Semester</t>
  </si>
  <si>
    <t>CGPA</t>
  </si>
  <si>
    <t>Earned Credit</t>
  </si>
  <si>
    <t>GPA</t>
  </si>
  <si>
    <t>W</t>
  </si>
  <si>
    <t>I</t>
  </si>
  <si>
    <t>Grading Policy</t>
  </si>
  <si>
    <t>MA2040</t>
  </si>
  <si>
    <t>Probability, Statistics and Stochastic Process</t>
  </si>
  <si>
    <t xml:space="preserve">NS1020 </t>
  </si>
  <si>
    <t>NSO</t>
  </si>
  <si>
    <t>AM1100A</t>
  </si>
  <si>
    <t>Design of steel structural systems</t>
  </si>
  <si>
    <t>Structural Fire Engineering</t>
  </si>
  <si>
    <t xml:space="preserve"> Khushdev Yogi_x000D_
_x000D_
</t>
  </si>
  <si>
    <t>Ce21B070</t>
  </si>
  <si>
    <t>HS1080</t>
  </si>
  <si>
    <t>Korean I</t>
  </si>
  <si>
    <t xml:space="preserve">CE3310 </t>
  </si>
  <si>
    <t>Advanced Structural Analysis</t>
  </si>
  <si>
    <t>Sixth Semester (JAN-MAY 2024)</t>
  </si>
  <si>
    <t>CE3050</t>
  </si>
  <si>
    <t>Basic Design of Steel Structures</t>
  </si>
  <si>
    <t>CE3100</t>
  </si>
  <si>
    <t>Structural engineering laboratory</t>
  </si>
  <si>
    <t>CE3420</t>
  </si>
  <si>
    <t>Concrete Technology</t>
  </si>
  <si>
    <t>CE4010</t>
  </si>
  <si>
    <t>Construction Project Management</t>
  </si>
  <si>
    <t>CE6030</t>
  </si>
  <si>
    <t>Construction economics and finance</t>
  </si>
  <si>
    <t>GN6001</t>
  </si>
  <si>
    <t>Integral Karmayoga</t>
  </si>
  <si>
    <t>HS4570</t>
  </si>
  <si>
    <t>Gandhian Thought</t>
  </si>
  <si>
    <t>Seventh Semester (JUL-NOV 2024)(Provisional Registration)</t>
  </si>
  <si>
    <t>Under graduate Project I</t>
  </si>
  <si>
    <t>Finite Element Analysis</t>
  </si>
  <si>
    <t>Systems Thinking for Engineers (Cultivating Wisdom</t>
  </si>
  <si>
    <t>cumulative grade point average secured considering only the successfully completed courses(credits)is 8.33</t>
  </si>
  <si>
    <r>
      <t xml:space="preserve"># To use this model, enter your credentials in </t>
    </r>
    <r>
      <rPr>
        <i/>
        <sz val="11"/>
        <color rgb="FF612A8A"/>
        <rFont val="Calibri"/>
        <family val="2"/>
        <scheme val="minor"/>
      </rPr>
      <t>"</t>
    </r>
    <r>
      <rPr>
        <b/>
        <i/>
        <sz val="11"/>
        <color rgb="FF612A8A"/>
        <rFont val="Calibri"/>
        <family val="2"/>
        <scheme val="minor"/>
      </rPr>
      <t>Users</t>
    </r>
    <r>
      <rPr>
        <i/>
        <sz val="11"/>
        <color rgb="FF612A8A"/>
        <rFont val="Calibri"/>
        <family val="2"/>
        <scheme val="minor"/>
      </rPr>
      <t>"</t>
    </r>
    <r>
      <rPr>
        <i/>
        <sz val="11"/>
        <color theme="0" tint="-0.499984740745262"/>
        <rFont val="Calibri"/>
        <family val="2"/>
        <scheme val="minor"/>
      </rPr>
      <t xml:space="preserve"> worksheet</t>
    </r>
  </si>
  <si>
    <r>
      <t xml:space="preserve"># Select </t>
    </r>
    <r>
      <rPr>
        <b/>
        <i/>
        <sz val="11"/>
        <color rgb="FF612A8A"/>
        <rFont val="Calibri"/>
        <family val="2"/>
        <scheme val="minor"/>
      </rPr>
      <t>Username</t>
    </r>
    <r>
      <rPr>
        <i/>
        <sz val="11"/>
        <color theme="0" tint="-0.499984740745262"/>
        <rFont val="Calibri"/>
        <family val="2"/>
        <scheme val="minor"/>
      </rPr>
      <t xml:space="preserve"> from dropdown list</t>
    </r>
  </si>
  <si>
    <r>
      <t xml:space="preserve"># Press </t>
    </r>
    <r>
      <rPr>
        <b/>
        <i/>
        <sz val="11"/>
        <color rgb="FF612A8A"/>
        <rFont val="Calibri"/>
        <family val="2"/>
        <scheme val="minor"/>
      </rPr>
      <t>Get Data</t>
    </r>
    <r>
      <rPr>
        <i/>
        <sz val="11"/>
        <color theme="0" tint="-0.499984740745262"/>
        <rFont val="Calibri"/>
        <family val="2"/>
        <scheme val="minor"/>
      </rPr>
      <t xml:space="preserve"> button to load your GradeCard and visualize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</si>
</sst>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 #,##0.00_ ;_ * \-#,##0.00_ ;_ * &quot;-&quot;??_ ;_ @_ "/>
    <numFmt numFmtId="164" formatCode="**;**;**;**"/>
    <numFmt numFmtId="165" formatCode="@&quot;:&quot;"/>
  </numFmts>
  <fonts count="12" x14ac:knownFonts="1">
    <font>
      <sz val="11"/>
      <color theme="1"/>
      <name val="Calibri"/>
      <family val="2"/>
      <scheme val="minor"/>
    </font>
    <font>
      <b/>
      <sz val="11"/>
      <color theme="0"/>
      <name val="Calibri"/>
      <family val="2"/>
      <scheme val="minor"/>
    </font>
    <font>
      <b/>
      <i/>
      <sz val="12"/>
      <color rgb="FF7030A0"/>
      <name val="Calibri"/>
      <family val="2"/>
      <scheme val="minor"/>
    </font>
    <font>
      <sz val="12"/>
      <color theme="1"/>
      <name val="Calibri"/>
      <family val="2"/>
      <scheme val="minor"/>
    </font>
    <font>
      <b/>
      <i/>
      <sz val="11"/>
      <color theme="0"/>
      <name val="Calibri"/>
      <family val="2"/>
      <scheme val="minor"/>
    </font>
    <font>
      <b/>
      <sz val="11"/>
      <color rgb="FF7030A0"/>
      <name val="Calibri"/>
      <family val="2"/>
      <scheme val="minor"/>
    </font>
    <font>
      <sz val="11"/>
      <color theme="1"/>
      <name val="Calibri"/>
      <family val="2"/>
      <scheme val="minor"/>
    </font>
    <font>
      <b/>
      <sz val="16"/>
      <color theme="1"/>
      <name val="Aptos Display"/>
      <family val="2"/>
    </font>
    <font>
      <b/>
      <i/>
      <sz val="12"/>
      <color rgb="FF7030A0"/>
      <name val="Aptos Display"/>
      <family val="2"/>
    </font>
    <font>
      <i/>
      <sz val="11"/>
      <color theme="0" tint="-0.499984740745262"/>
      <name val="Calibri"/>
      <family val="2"/>
      <scheme val="minor"/>
    </font>
    <font>
      <i/>
      <sz val="11"/>
      <color rgb="FF612A8A"/>
      <name val="Calibri"/>
      <family val="2"/>
      <scheme val="minor"/>
    </font>
    <font>
      <b/>
      <i/>
      <sz val="11"/>
      <color rgb="FF612A8A"/>
      <name val="Calibri"/>
      <family val="2"/>
      <scheme val="minor"/>
    </font>
  </fonts>
  <fills count="4">
    <fill>
      <patternFill patternType="none"/>
    </fill>
    <fill>
      <patternFill patternType="gray125"/>
    </fill>
    <fill>
      <patternFill patternType="solid">
        <fgColor rgb="FF7030A0"/>
        <bgColor indexed="64"/>
      </patternFill>
    </fill>
    <fill>
      <patternFill patternType="solid">
        <fgColor rgb="FFF3EBF9"/>
        <bgColor indexed="64"/>
      </patternFill>
    </fill>
  </fills>
  <borders count="13">
    <border>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s>
  <cellStyleXfs count="2">
    <xf numFmtId="0" fontId="0" fillId="0" borderId="0"/>
    <xf numFmtId="43" fontId="6" fillId="0" borderId="0" applyFont="0" applyFill="0" applyBorder="0" applyAlignment="0" applyProtection="0"/>
  </cellStyleXfs>
  <cellXfs count="35">
    <xf numFmtId="0" fontId="0" fillId="0" borderId="0" xfId="0"/>
    <xf numFmtId="0" fontId="0" fillId="0" borderId="0" xfId="0" applyAlignment="1">
      <alignment wrapText="1"/>
    </xf>
    <xf numFmtId="0" fontId="1" fillId="2" borderId="7" xfId="0" applyFont="1" applyFill="1" applyBorder="1"/>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0" fillId="0" borderId="8" xfId="0" applyBorder="1"/>
    <xf numFmtId="0" fontId="4" fillId="2" borderId="0" xfId="0" applyFont="1" applyFill="1"/>
    <xf numFmtId="0" fontId="0" fillId="3" borderId="8" xfId="0" applyFill="1" applyBorder="1"/>
    <xf numFmtId="0" fontId="1" fillId="2" borderId="7" xfId="0" applyFont="1" applyFill="1" applyBorder="1" applyAlignment="1">
      <alignment horizontal="center" vertical="center"/>
    </xf>
    <xf numFmtId="0" fontId="0" fillId="0" borderId="0" xfId="0" applyAlignment="1">
      <alignment horizontal="center" vertical="center"/>
    </xf>
    <xf numFmtId="0" fontId="0" fillId="3" borderId="8" xfId="0" applyFill="1" applyBorder="1" applyAlignment="1">
      <alignment horizontal="center" vertical="center"/>
    </xf>
    <xf numFmtId="0" fontId="0" fillId="0" borderId="8" xfId="0" applyBorder="1" applyAlignment="1">
      <alignment horizontal="center" vertical="center"/>
    </xf>
    <xf numFmtId="43" fontId="0" fillId="0" borderId="8" xfId="1" applyFont="1" applyBorder="1" applyAlignment="1">
      <alignment horizontal="center" vertical="center"/>
    </xf>
    <xf numFmtId="0" fontId="5" fillId="0" borderId="0" xfId="0" applyFont="1"/>
    <xf numFmtId="0" fontId="2" fillId="0" borderId="0" xfId="0" applyFont="1" applyAlignment="1">
      <alignment horizontal="center" vertical="center"/>
    </xf>
    <xf numFmtId="164" fontId="3" fillId="0" borderId="0" xfId="0" applyNumberFormat="1" applyFont="1" applyAlignment="1">
      <alignment horizontal="left" vertical="center"/>
    </xf>
    <xf numFmtId="165" fontId="8" fillId="0" borderId="0" xfId="0" applyNumberFormat="1" applyFont="1"/>
    <xf numFmtId="0" fontId="7" fillId="0" borderId="0" xfId="0" applyFont="1"/>
    <xf numFmtId="164" fontId="0" fillId="0" borderId="0" xfId="0" applyNumberFormat="1"/>
    <xf numFmtId="0" fontId="3" fillId="0" borderId="12" xfId="0" applyFont="1" applyBorder="1" applyAlignment="1">
      <alignment horizontal="left" vertical="center"/>
    </xf>
    <xf numFmtId="0" fontId="3" fillId="0" borderId="1" xfId="0" applyFont="1" applyBorder="1" applyAlignment="1">
      <alignment horizontal="left" vertical="center"/>
    </xf>
    <xf numFmtId="0" fontId="3" fillId="0" borderId="2" xfId="0" applyFont="1" applyBorder="1" applyAlignment="1">
      <alignment horizontal="left" vertical="center"/>
    </xf>
    <xf numFmtId="164" fontId="3" fillId="0" borderId="11" xfId="0" applyNumberFormat="1" applyFont="1" applyBorder="1" applyAlignment="1">
      <alignment horizontal="left" vertical="center"/>
    </xf>
    <xf numFmtId="164" fontId="3" fillId="0" borderId="3" xfId="0" applyNumberFormat="1" applyFont="1" applyBorder="1" applyAlignment="1">
      <alignment horizontal="left" vertical="center"/>
    </xf>
    <xf numFmtId="164" fontId="3" fillId="0" borderId="4" xfId="0" applyNumberFormat="1" applyFont="1" applyBorder="1" applyAlignment="1">
      <alignment horizontal="left" vertical="center"/>
    </xf>
    <xf numFmtId="0" fontId="5" fillId="0" borderId="8" xfId="0" applyFont="1" applyBorder="1" applyAlignment="1">
      <alignment horizontal="center"/>
    </xf>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165" fontId="8" fillId="0" borderId="9" xfId="0" applyNumberFormat="1" applyFont="1" applyBorder="1"/>
    <xf numFmtId="165" fontId="8" fillId="0" borderId="1" xfId="0" applyNumberFormat="1" applyFont="1" applyBorder="1"/>
    <xf numFmtId="165" fontId="8" fillId="0" borderId="10" xfId="0" applyNumberFormat="1" applyFont="1" applyBorder="1"/>
    <xf numFmtId="165" fontId="8" fillId="0" borderId="3" xfId="0" applyNumberFormat="1" applyFont="1" applyBorder="1"/>
    <xf numFmtId="0" fontId="9" fillId="0" borderId="0" xfId="0" applyFont="1"/>
  </cellXfs>
  <cellStyles count="2">
    <cellStyle name="Comma" xfId="1" builtinId="3"/>
    <cellStyle name="Normal" xfId="0" builtinId="0"/>
  </cellStyles>
  <dxfs count="13">
    <dxf>
      <font>
        <color rgb="FF612A8A"/>
      </font>
      <fill>
        <patternFill patternType="solid">
          <fgColor rgb="FFF3EBF9"/>
          <bgColor rgb="FFFFF8FF"/>
        </patternFill>
      </fill>
    </dxf>
    <dxf>
      <border>
        <left style="thin">
          <color auto="1"/>
        </left>
        <right style="thin">
          <color auto="1"/>
        </right>
        <top style="thin">
          <color auto="1"/>
        </top>
        <bottom style="thin">
          <color auto="1"/>
        </bottom>
        <vertical/>
        <horizontal/>
      </border>
    </dxf>
    <dxf>
      <font>
        <b/>
        <i val="0"/>
        <color rgb="FF7030A0"/>
      </font>
      <fill>
        <patternFill>
          <bgColor theme="0" tint="-4.9989318521683403E-2"/>
        </patternFill>
      </fill>
    </dxf>
    <dxf>
      <font>
        <b/>
        <strike val="0"/>
        <outline val="0"/>
        <shadow val="0"/>
        <u val="none"/>
        <vertAlign val="baseline"/>
        <sz val="11"/>
        <color rgb="FF7030A0"/>
        <name val="Calibri"/>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7030A0"/>
        </patternFill>
      </fill>
    </dxf>
    <dxf>
      <font>
        <b/>
        <i val="0"/>
        <color theme="1"/>
      </font>
    </dxf>
    <dxf>
      <fill>
        <patternFill>
          <bgColor theme="0"/>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6" xr9:uid="{A34484B0-F1FB-4F0D-B0AE-A70EE7CF834D}">
      <tableStyleElement type="wholeTable" dxfId="12"/>
      <tableStyleElement type="headerRow" dxfId="11"/>
    </tableStyle>
  </tableStyles>
  <colors>
    <mruColors>
      <color rgb="FF612A8A"/>
      <color rgb="FFD3B5E9"/>
      <color rgb="FFF6F0FA"/>
      <color rgb="FFECDFF5"/>
      <color rgb="FF420042"/>
      <color rgb="FFFFF8FF"/>
      <color rgb="FFF3EBF9"/>
      <color rgb="FFFCF3FF"/>
      <color rgb="FFFF66FF"/>
    </mruColors>
  </colors>
  <extLst>
    <ext xmlns:x14="http://schemas.microsoft.com/office/spreadsheetml/2009/9/main" uri="{46F421CA-312F-682f-3DD2-61675219B42D}">
      <x14:dxfs count="4">
        <dxf>
          <font>
            <color theme="0"/>
          </font>
          <fill>
            <patternFill>
              <bgColor rgb="FF7030A0"/>
            </patternFill>
          </fill>
        </dxf>
        <dxf>
          <font>
            <color auto="1"/>
          </font>
          <fill>
            <patternFill>
              <bgColor rgb="FFECDFF5"/>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calcChain" Target="calcChain.xml"/><Relationship Id="rId5" Type="http://schemas.microsoft.com/office/2007/relationships/slicerCache" Target="slicerCaches/slicerCache2.xml"/><Relationship Id="rId10" Type="http://schemas.openxmlformats.org/officeDocument/2006/relationships/sheetMetadata" Target="metadata.xml"/><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t>CGPA &amp; GPA with Semester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strRef>
              <c:f>Dashboard!$M$15</c:f>
              <c:strCache>
                <c:ptCount val="1"/>
                <c:pt idx="0">
                  <c:v>GPA</c:v>
                </c:pt>
              </c:strCache>
            </c:strRef>
          </c:tx>
          <c:spPr>
            <a:ln w="28575" cap="rnd">
              <a:solidFill>
                <a:schemeClr val="accent1"/>
              </a:solidFill>
              <a:round/>
            </a:ln>
            <a:effectLst/>
          </c:spPr>
          <c:marker>
            <c:symbol val="circle"/>
            <c:size val="5"/>
            <c:spPr>
              <a:solidFill>
                <a:srgbClr val="F3EBF9"/>
              </a:solidFill>
              <a:ln w="9525">
                <a:solidFill>
                  <a:srgbClr val="D3B5E9"/>
                </a:solidFill>
              </a:ln>
              <a:effectLst/>
            </c:spPr>
          </c:marker>
          <c:dPt>
            <c:idx val="0"/>
            <c:marker>
              <c:symbol val="circle"/>
              <c:size val="5"/>
              <c:spPr>
                <a:solidFill>
                  <a:srgbClr val="F3EBF9"/>
                </a:solidFill>
                <a:ln w="9525">
                  <a:solidFill>
                    <a:srgbClr val="D3B5E9"/>
                  </a:solidFill>
                </a:ln>
                <a:effectLst/>
              </c:spPr>
            </c:marker>
            <c:bubble3D val="0"/>
            <c:extLst>
              <c:ext xmlns:c16="http://schemas.microsoft.com/office/drawing/2014/chart" uri="{C3380CC4-5D6E-409C-BE32-E72D297353CC}">
                <c16:uniqueId val="{00000000-9B04-43F3-9C3B-BFA017940BD9}"/>
              </c:ext>
            </c:extLst>
          </c:dPt>
          <c:dPt>
            <c:idx val="1"/>
            <c:marker>
              <c:symbol val="circle"/>
              <c:size val="5"/>
              <c:spPr>
                <a:solidFill>
                  <a:srgbClr val="F3EBF9"/>
                </a:solidFill>
                <a:ln w="9525">
                  <a:solidFill>
                    <a:srgbClr val="D3B5E9"/>
                  </a:solidFill>
                </a:ln>
                <a:effectLst/>
              </c:spPr>
            </c:marker>
            <c:bubble3D val="0"/>
            <c:extLst>
              <c:ext xmlns:c16="http://schemas.microsoft.com/office/drawing/2014/chart" uri="{C3380CC4-5D6E-409C-BE32-E72D297353CC}">
                <c16:uniqueId val="{00000000-D6D2-4D8E-8D49-792EA597FF78}"/>
              </c:ext>
            </c:extLst>
          </c:dPt>
          <c:dPt>
            <c:idx val="2"/>
            <c:marker>
              <c:symbol val="circle"/>
              <c:size val="5"/>
              <c:spPr>
                <a:solidFill>
                  <a:srgbClr val="F3EBF9"/>
                </a:solidFill>
                <a:ln w="9525">
                  <a:solidFill>
                    <a:srgbClr val="D3B5E9"/>
                  </a:solidFill>
                </a:ln>
                <a:effectLst/>
              </c:spPr>
            </c:marker>
            <c:bubble3D val="0"/>
            <c:extLst>
              <c:ext xmlns:c16="http://schemas.microsoft.com/office/drawing/2014/chart" uri="{C3380CC4-5D6E-409C-BE32-E72D297353CC}">
                <c16:uniqueId val="{00000001-D6D2-4D8E-8D49-792EA597FF78}"/>
              </c:ext>
            </c:extLst>
          </c:dPt>
          <c:dPt>
            <c:idx val="4"/>
            <c:marker>
              <c:symbol val="circle"/>
              <c:size val="5"/>
              <c:spPr>
                <a:solidFill>
                  <a:srgbClr val="F3EBF9"/>
                </a:solidFill>
                <a:ln w="9525">
                  <a:solidFill>
                    <a:srgbClr val="D3B5E9"/>
                  </a:solidFill>
                </a:ln>
                <a:effectLst/>
              </c:spPr>
            </c:marker>
            <c:bubble3D val="0"/>
            <c:extLst>
              <c:ext xmlns:c16="http://schemas.microsoft.com/office/drawing/2014/chart" uri="{C3380CC4-5D6E-409C-BE32-E72D297353CC}">
                <c16:uniqueId val="{00000002-3D7F-48B5-BBA5-758DA31609BF}"/>
              </c:ext>
            </c:extLst>
          </c:dPt>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Dashboard!$M$16:$M$21</c:f>
              <c:numCache>
                <c:formatCode>_(* #,##0.00_);_(* \(#,##0.00\);_(* "-"??_);_(@_)</c:formatCode>
                <c:ptCount val="6"/>
                <c:pt idx="0">
                  <c:v>6.89</c:v>
                </c:pt>
                <c:pt idx="1">
                  <c:v>8.32</c:v>
                </c:pt>
                <c:pt idx="2">
                  <c:v>8.06</c:v>
                </c:pt>
                <c:pt idx="3">
                  <c:v>8.34</c:v>
                </c:pt>
                <c:pt idx="4">
                  <c:v>8.6199999999999992</c:v>
                </c:pt>
                <c:pt idx="5">
                  <c:v>8.8800000000000008</c:v>
                </c:pt>
              </c:numCache>
            </c:numRef>
          </c:val>
          <c:smooth val="0"/>
          <c:extLst>
            <c:ext xmlns:c16="http://schemas.microsoft.com/office/drawing/2014/chart" uri="{C3380CC4-5D6E-409C-BE32-E72D297353CC}">
              <c16:uniqueId val="{00000005-5649-4BE6-AC89-A1ECB98DAC31}"/>
            </c:ext>
          </c:extLst>
        </c:ser>
        <c:ser>
          <c:idx val="1"/>
          <c:order val="1"/>
          <c:tx>
            <c:strRef>
              <c:f>Dashboard!$N$15</c:f>
              <c:strCache>
                <c:ptCount val="1"/>
                <c:pt idx="0">
                  <c:v>CGPA</c:v>
                </c:pt>
              </c:strCache>
            </c:strRef>
          </c:tx>
          <c:spPr>
            <a:ln w="28575" cap="rnd">
              <a:solidFill>
                <a:schemeClr val="accent2"/>
              </a:solidFill>
              <a:round/>
            </a:ln>
            <a:effectLst/>
          </c:spPr>
          <c:marker>
            <c:symbol val="circle"/>
            <c:size val="5"/>
            <c:spPr>
              <a:solidFill>
                <a:srgbClr val="002060"/>
              </a:solidFill>
              <a:ln w="9525">
                <a:solidFill>
                  <a:srgbClr val="D3B5E9"/>
                </a:solidFill>
              </a:ln>
              <a:effectLst/>
            </c:spPr>
          </c:marker>
          <c:dPt>
            <c:idx val="0"/>
            <c:marker>
              <c:symbol val="circle"/>
              <c:size val="5"/>
              <c:spPr>
                <a:solidFill>
                  <a:srgbClr val="002060"/>
                </a:solidFill>
                <a:ln w="9525">
                  <a:solidFill>
                    <a:srgbClr val="D3B5E9"/>
                  </a:solidFill>
                </a:ln>
                <a:effectLst/>
              </c:spPr>
            </c:marker>
            <c:bubble3D val="0"/>
            <c:extLst>
              <c:ext xmlns:c16="http://schemas.microsoft.com/office/drawing/2014/chart" uri="{C3380CC4-5D6E-409C-BE32-E72D297353CC}">
                <c16:uniqueId val="{00000004-9B04-43F3-9C3B-BFA017940BD9}"/>
              </c:ext>
            </c:extLst>
          </c:dPt>
          <c:dPt>
            <c:idx val="1"/>
            <c:marker>
              <c:symbol val="circle"/>
              <c:size val="5"/>
              <c:spPr>
                <a:solidFill>
                  <a:srgbClr val="002060"/>
                </a:solidFill>
                <a:ln w="9525">
                  <a:solidFill>
                    <a:srgbClr val="D3B5E9"/>
                  </a:solidFill>
                </a:ln>
                <a:effectLst/>
              </c:spPr>
            </c:marker>
            <c:bubble3D val="0"/>
            <c:extLst>
              <c:ext xmlns:c16="http://schemas.microsoft.com/office/drawing/2014/chart" uri="{C3380CC4-5D6E-409C-BE32-E72D297353CC}">
                <c16:uniqueId val="{00000003-D6D2-4D8E-8D49-792EA597FF78}"/>
              </c:ext>
            </c:extLst>
          </c:dPt>
          <c:dPt>
            <c:idx val="2"/>
            <c:marker>
              <c:symbol val="circle"/>
              <c:size val="5"/>
              <c:spPr>
                <a:solidFill>
                  <a:srgbClr val="002060"/>
                </a:solidFill>
                <a:ln w="9525">
                  <a:solidFill>
                    <a:srgbClr val="D3B5E9"/>
                  </a:solidFill>
                </a:ln>
                <a:effectLst/>
              </c:spPr>
            </c:marker>
            <c:bubble3D val="0"/>
            <c:extLst>
              <c:ext xmlns:c16="http://schemas.microsoft.com/office/drawing/2014/chart" uri="{C3380CC4-5D6E-409C-BE32-E72D297353CC}">
                <c16:uniqueId val="{00000005-D6D2-4D8E-8D49-792EA597FF78}"/>
              </c:ext>
            </c:extLst>
          </c:dPt>
          <c:dPt>
            <c:idx val="4"/>
            <c:marker>
              <c:symbol val="circle"/>
              <c:size val="5"/>
              <c:spPr>
                <a:solidFill>
                  <a:srgbClr val="002060"/>
                </a:solidFill>
                <a:ln w="9525">
                  <a:solidFill>
                    <a:srgbClr val="D3B5E9"/>
                  </a:solidFill>
                </a:ln>
                <a:effectLst/>
              </c:spPr>
            </c:marker>
            <c:bubble3D val="0"/>
            <c:extLst>
              <c:ext xmlns:c16="http://schemas.microsoft.com/office/drawing/2014/chart" uri="{C3380CC4-5D6E-409C-BE32-E72D297353CC}">
                <c16:uniqueId val="{00000007-3D7F-48B5-BBA5-758DA31609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Dashboard!$N$16:$N$21</c:f>
              <c:numCache>
                <c:formatCode>_(* #,##0.00_);_(* \(#,##0.00\);_(* "-"??_);_(@_)</c:formatCode>
                <c:ptCount val="6"/>
                <c:pt idx="0">
                  <c:v>6.89</c:v>
                </c:pt>
                <c:pt idx="1">
                  <c:v>7.93</c:v>
                </c:pt>
                <c:pt idx="2">
                  <c:v>7.99</c:v>
                </c:pt>
                <c:pt idx="3">
                  <c:v>8.09</c:v>
                </c:pt>
                <c:pt idx="4">
                  <c:v>8.2100000000000009</c:v>
                </c:pt>
                <c:pt idx="5">
                  <c:v>8.33</c:v>
                </c:pt>
              </c:numCache>
            </c:numRef>
          </c:val>
          <c:smooth val="0"/>
          <c:extLst>
            <c:ext xmlns:c16="http://schemas.microsoft.com/office/drawing/2014/chart" uri="{C3380CC4-5D6E-409C-BE32-E72D297353CC}">
              <c16:uniqueId val="{0000000B-5649-4BE6-AC89-A1ECB98DAC31}"/>
            </c:ext>
          </c:extLst>
        </c:ser>
        <c:dLbls>
          <c:showLegendKey val="0"/>
          <c:showVal val="1"/>
          <c:showCatName val="0"/>
          <c:showSerName val="0"/>
          <c:showPercent val="0"/>
          <c:showBubbleSize val="0"/>
        </c:dLbls>
        <c:marker val="1"/>
        <c:smooth val="0"/>
        <c:axId val="71269792"/>
        <c:axId val="71260672"/>
      </c:lineChart>
      <c:catAx>
        <c:axId val="712697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N"/>
                  <a:t>Semester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1260672"/>
        <c:crosses val="autoZero"/>
        <c:auto val="1"/>
        <c:lblAlgn val="ctr"/>
        <c:lblOffset val="100"/>
        <c:noMultiLvlLbl val="0"/>
      </c:catAx>
      <c:valAx>
        <c:axId val="71260672"/>
        <c:scaling>
          <c:orientation val="minMax"/>
          <c:min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N"/>
                  <a:t>Grade</a:t>
                </a:r>
                <a:r>
                  <a:rPr lang="en-IN" baseline="0"/>
                  <a:t> Point Average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1269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60000">
          <a:schemeClr val="bg1"/>
        </a:gs>
        <a:gs pos="100000">
          <a:srgbClr val="F3EBF9"/>
        </a:gs>
      </a:gsLst>
      <a:lin ang="5400000" scaled="1"/>
      <a:tileRect/>
    </a:gradFill>
    <a:ln w="12700" cap="flat" cmpd="sng" algn="ctr">
      <a:solidFill>
        <a:srgbClr val="F3EBF9"/>
      </a:solidFill>
      <a:prstDash val="solid"/>
      <a:miter lim="800000"/>
    </a:ln>
    <a:effectLst/>
    <a:scene3d>
      <a:camera prst="orthographicFront"/>
      <a:lightRig rig="contrasting" dir="t">
        <a:rot lat="0" lon="0" rev="1500000"/>
      </a:lightRig>
    </a:scene3d>
    <a:sp3d prstMaterial="metal">
      <a:bevelT w="88900" h="88900"/>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42</xdr:col>
      <xdr:colOff>437745</xdr:colOff>
      <xdr:row>0</xdr:row>
      <xdr:rowOff>678180</xdr:rowOff>
    </xdr:to>
    <xdr:sp macro="" textlink="">
      <xdr:nvSpPr>
        <xdr:cNvPr id="2" name="Rectangle 1">
          <a:extLst>
            <a:ext uri="{FF2B5EF4-FFF2-40B4-BE49-F238E27FC236}">
              <a16:creationId xmlns:a16="http://schemas.microsoft.com/office/drawing/2014/main" id="{4CE7387E-67DE-4210-9B74-6BF3BCBE1370}"/>
            </a:ext>
          </a:extLst>
        </xdr:cNvPr>
        <xdr:cNvSpPr/>
      </xdr:nvSpPr>
      <xdr:spPr>
        <a:xfrm>
          <a:off x="0" y="0"/>
          <a:ext cx="29037064" cy="678180"/>
        </a:xfrm>
        <a:prstGeom prst="rect">
          <a:avLst/>
        </a:prstGeom>
        <a:gradFill>
          <a:gsLst>
            <a:gs pos="0">
              <a:srgbClr val="420042"/>
            </a:gs>
            <a:gs pos="65000">
              <a:srgbClr val="4A2069"/>
            </a:gs>
            <a:gs pos="27000">
              <a:srgbClr val="35174B"/>
            </a:gs>
            <a:gs pos="100000">
              <a:srgbClr val="612A8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1" algn="l"/>
          <a:r>
            <a:rPr lang="en-IN" sz="2400" b="1">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rPr>
            <a:t>Grade Card</a:t>
          </a:r>
        </a:p>
      </xdr:txBody>
    </xdr:sp>
    <xdr:clientData/>
  </xdr:twoCellAnchor>
  <xdr:twoCellAnchor editAs="absolute">
    <xdr:from>
      <xdr:col>3</xdr:col>
      <xdr:colOff>981747</xdr:colOff>
      <xdr:row>0</xdr:row>
      <xdr:rowOff>196333</xdr:rowOff>
    </xdr:from>
    <xdr:to>
      <xdr:col>3</xdr:col>
      <xdr:colOff>1966305</xdr:colOff>
      <xdr:row>0</xdr:row>
      <xdr:rowOff>505326</xdr:rowOff>
    </xdr:to>
    <xdr:sp macro="[0]!GetGrades" textlink="">
      <xdr:nvSpPr>
        <xdr:cNvPr id="4" name="Rectangle: Rounded Corners 3">
          <a:extLst>
            <a:ext uri="{FF2B5EF4-FFF2-40B4-BE49-F238E27FC236}">
              <a16:creationId xmlns:a16="http://schemas.microsoft.com/office/drawing/2014/main" id="{7DD9EF0E-74EC-00DF-242C-4309C34FFDA0}"/>
            </a:ext>
          </a:extLst>
        </xdr:cNvPr>
        <xdr:cNvSpPr/>
      </xdr:nvSpPr>
      <xdr:spPr>
        <a:xfrm>
          <a:off x="2569915" y="196333"/>
          <a:ext cx="984558" cy="308993"/>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0">
              <a:solidFill>
                <a:srgbClr val="7030A0"/>
              </a:solidFill>
              <a:latin typeface="Arial Narrow" panose="020B0606020202030204" pitchFamily="34" charset="0"/>
              <a:ea typeface="Microsoft YaHei UI" panose="020B0503020204020204" pitchFamily="34" charset="-122"/>
            </a:rPr>
            <a:t>Get Data</a:t>
          </a:r>
        </a:p>
      </xdr:txBody>
    </xdr:sp>
    <xdr:clientData/>
  </xdr:twoCellAnchor>
  <xdr:twoCellAnchor>
    <xdr:from>
      <xdr:col>9</xdr:col>
      <xdr:colOff>605592</xdr:colOff>
      <xdr:row>3</xdr:row>
      <xdr:rowOff>68731</xdr:rowOff>
    </xdr:from>
    <xdr:to>
      <xdr:col>16</xdr:col>
      <xdr:colOff>8108</xdr:colOff>
      <xdr:row>13</xdr:row>
      <xdr:rowOff>2</xdr:rowOff>
    </xdr:to>
    <xdr:graphicFrame macro="">
      <xdr:nvGraphicFramePr>
        <xdr:cNvPr id="6" name="Chart 5">
          <a:extLst>
            <a:ext uri="{FF2B5EF4-FFF2-40B4-BE49-F238E27FC236}">
              <a16:creationId xmlns:a16="http://schemas.microsoft.com/office/drawing/2014/main" id="{E38D1918-E793-4CD2-929C-FD42CD284A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27120</xdr:colOff>
      <xdr:row>0</xdr:row>
      <xdr:rowOff>73336</xdr:rowOff>
    </xdr:from>
    <xdr:to>
      <xdr:col>18</xdr:col>
      <xdr:colOff>559964</xdr:colOff>
      <xdr:row>0</xdr:row>
      <xdr:rowOff>625642</xdr:rowOff>
    </xdr:to>
    <xdr:pic>
      <xdr:nvPicPr>
        <xdr:cNvPr id="5" name="Picture 4">
          <a:extLst>
            <a:ext uri="{FF2B5EF4-FFF2-40B4-BE49-F238E27FC236}">
              <a16:creationId xmlns:a16="http://schemas.microsoft.com/office/drawing/2014/main" id="{06860374-F707-9F57-BAA9-689A3DEB70F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1946" t="11628" r="21946" b="11628"/>
        <a:stretch/>
      </xdr:blipFill>
      <xdr:spPr>
        <a:xfrm>
          <a:off x="14002052" y="73336"/>
          <a:ext cx="532844" cy="552306"/>
        </a:xfrm>
        <a:prstGeom prst="ellipse">
          <a:avLst/>
        </a:prstGeom>
      </xdr:spPr>
    </xdr:pic>
    <xdr:clientData/>
  </xdr:twoCellAnchor>
  <xdr:twoCellAnchor editAs="absolute">
    <xdr:from>
      <xdr:col>2</xdr:col>
      <xdr:colOff>5675</xdr:colOff>
      <xdr:row>3</xdr:row>
      <xdr:rowOff>56746</xdr:rowOff>
    </xdr:from>
    <xdr:to>
      <xdr:col>3</xdr:col>
      <xdr:colOff>964660</xdr:colOff>
      <xdr:row>8</xdr:row>
      <xdr:rowOff>159193</xdr:rowOff>
    </xdr:to>
    <mc:AlternateContent xmlns:mc="http://schemas.openxmlformats.org/markup-compatibility/2006" xmlns:sle15="http://schemas.microsoft.com/office/drawing/2012/slicer">
      <mc:Choice Requires="sle15">
        <xdr:graphicFrame macro="">
          <xdr:nvGraphicFramePr>
            <xdr:cNvPr id="3" name="Semester">
              <a:extLst>
                <a:ext uri="{FF2B5EF4-FFF2-40B4-BE49-F238E27FC236}">
                  <a16:creationId xmlns:a16="http://schemas.microsoft.com/office/drawing/2014/main" id="{C9D11D1A-98A3-26CE-9E66-BDB7413EC0ED}"/>
                </a:ext>
              </a:extLst>
            </xdr:cNvPr>
            <xdr:cNvGraphicFramePr/>
          </xdr:nvGraphicFramePr>
          <xdr:xfrm>
            <a:off x="0" y="0"/>
            <a:ext cx="0" cy="0"/>
          </xdr:xfrm>
          <a:graphic>
            <a:graphicData uri="http://schemas.microsoft.com/office/drawing/2010/slicer">
              <sle:slicer xmlns:sle="http://schemas.microsoft.com/office/drawing/2010/slicer" name="Semester"/>
            </a:graphicData>
          </a:graphic>
        </xdr:graphicFrame>
      </mc:Choice>
      <mc:Fallback xmlns="">
        <xdr:sp macro="" textlink="">
          <xdr:nvSpPr>
            <xdr:cNvPr id="0" name=""/>
            <xdr:cNvSpPr>
              <a:spLocks noTextEdit="1"/>
            </xdr:cNvSpPr>
          </xdr:nvSpPr>
          <xdr:spPr>
            <a:xfrm>
              <a:off x="767675" y="1334684"/>
              <a:ext cx="1784485" cy="1451822"/>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980222</xdr:colOff>
      <xdr:row>3</xdr:row>
      <xdr:rowOff>56744</xdr:rowOff>
    </xdr:from>
    <xdr:to>
      <xdr:col>6</xdr:col>
      <xdr:colOff>738592</xdr:colOff>
      <xdr:row>8</xdr:row>
      <xdr:rowOff>159191</xdr:rowOff>
    </xdr:to>
    <mc:AlternateContent xmlns:mc="http://schemas.openxmlformats.org/markup-compatibility/2006" xmlns:sle15="http://schemas.microsoft.com/office/drawing/2012/slicer">
      <mc:Choice Requires="sle15">
        <xdr:graphicFrame macro="">
          <xdr:nvGraphicFramePr>
            <xdr:cNvPr id="7" name="Grade">
              <a:extLst>
                <a:ext uri="{FF2B5EF4-FFF2-40B4-BE49-F238E27FC236}">
                  <a16:creationId xmlns:a16="http://schemas.microsoft.com/office/drawing/2014/main" id="{E2F2BBC9-55B2-1F6D-709A-BD34D8B67B27}"/>
                </a:ext>
              </a:extLst>
            </xdr:cNvPr>
            <xdr:cNvGraphicFramePr/>
          </xdr:nvGraphicFramePr>
          <xdr:xfrm>
            <a:off x="0" y="0"/>
            <a:ext cx="0" cy="0"/>
          </xdr:xfrm>
          <a:graphic>
            <a:graphicData uri="http://schemas.microsoft.com/office/drawing/2010/slicer">
              <sle:slicer xmlns:sle="http://schemas.microsoft.com/office/drawing/2010/slicer" name="Grade"/>
            </a:graphicData>
          </a:graphic>
        </xdr:graphicFrame>
      </mc:Choice>
      <mc:Fallback xmlns="">
        <xdr:sp macro="" textlink="">
          <xdr:nvSpPr>
            <xdr:cNvPr id="0" name=""/>
            <xdr:cNvSpPr>
              <a:spLocks noTextEdit="1"/>
            </xdr:cNvSpPr>
          </xdr:nvSpPr>
          <xdr:spPr>
            <a:xfrm>
              <a:off x="5250597" y="1334682"/>
              <a:ext cx="1726870" cy="1451822"/>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1159106</xdr:colOff>
      <xdr:row>3</xdr:row>
      <xdr:rowOff>56744</xdr:rowOff>
    </xdr:from>
    <xdr:to>
      <xdr:col>4</xdr:col>
      <xdr:colOff>785776</xdr:colOff>
      <xdr:row>8</xdr:row>
      <xdr:rowOff>159191</xdr:rowOff>
    </xdr:to>
    <mc:AlternateContent xmlns:mc="http://schemas.openxmlformats.org/markup-compatibility/2006" xmlns:sle15="http://schemas.microsoft.com/office/drawing/2012/slicer">
      <mc:Choice Requires="sle15">
        <xdr:graphicFrame macro="">
          <xdr:nvGraphicFramePr>
            <xdr:cNvPr id="8" name="Course Category">
              <a:extLst>
                <a:ext uri="{FF2B5EF4-FFF2-40B4-BE49-F238E27FC236}">
                  <a16:creationId xmlns:a16="http://schemas.microsoft.com/office/drawing/2014/main" id="{1B1B5A6B-C107-AAF1-E228-B2E1E978DDF8}"/>
                </a:ext>
              </a:extLst>
            </xdr:cNvPr>
            <xdr:cNvGraphicFramePr/>
          </xdr:nvGraphicFramePr>
          <xdr:xfrm>
            <a:off x="0" y="0"/>
            <a:ext cx="0" cy="0"/>
          </xdr:xfrm>
          <a:graphic>
            <a:graphicData uri="http://schemas.microsoft.com/office/drawing/2010/slicer">
              <sle:slicer xmlns:sle="http://schemas.microsoft.com/office/drawing/2010/slicer" name="Course Category"/>
            </a:graphicData>
          </a:graphic>
        </xdr:graphicFrame>
      </mc:Choice>
      <mc:Fallback xmlns="">
        <xdr:sp macro="" textlink="">
          <xdr:nvSpPr>
            <xdr:cNvPr id="0" name=""/>
            <xdr:cNvSpPr>
              <a:spLocks noTextEdit="1"/>
            </xdr:cNvSpPr>
          </xdr:nvSpPr>
          <xdr:spPr>
            <a:xfrm>
              <a:off x="2746606" y="1334682"/>
              <a:ext cx="2309545" cy="1451822"/>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10</xdr:col>
      <xdr:colOff>1</xdr:colOff>
      <xdr:row>0</xdr:row>
      <xdr:rowOff>97276</xdr:rowOff>
    </xdr:from>
    <xdr:to>
      <xdr:col>17</xdr:col>
      <xdr:colOff>129702</xdr:colOff>
      <xdr:row>0</xdr:row>
      <xdr:rowOff>591765</xdr:rowOff>
    </xdr:to>
    <xdr:sp macro="" textlink="">
      <xdr:nvSpPr>
        <xdr:cNvPr id="9" name="TextBox 8">
          <a:extLst>
            <a:ext uri="{FF2B5EF4-FFF2-40B4-BE49-F238E27FC236}">
              <a16:creationId xmlns:a16="http://schemas.microsoft.com/office/drawing/2014/main" id="{478B15CD-D03F-ACBA-09AE-6F701E95D8A0}"/>
            </a:ext>
          </a:extLst>
        </xdr:cNvPr>
        <xdr:cNvSpPr txBox="1"/>
      </xdr:nvSpPr>
      <xdr:spPr>
        <a:xfrm>
          <a:off x="9144001" y="97276"/>
          <a:ext cx="4442297" cy="494489"/>
        </a:xfrm>
        <a:prstGeom prst="rect">
          <a:avLst/>
        </a:prstGeom>
        <a:noFill/>
        <a:ln w="12700"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solidFill>
                <a:schemeClr val="bg1"/>
              </a:solidFill>
            </a:rPr>
            <a:t>Indian</a:t>
          </a:r>
          <a:r>
            <a:rPr lang="en-IN" sz="2000" baseline="0">
              <a:solidFill>
                <a:schemeClr val="bg1"/>
              </a:solidFill>
            </a:rPr>
            <a:t> Institute of Technology Madras</a:t>
          </a:r>
          <a:endParaRPr lang="en-IN" sz="2000">
            <a:solidFill>
              <a:schemeClr val="bg1"/>
            </a:solidFill>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ester" xr10:uid="{E1622125-0D7A-48A0-B4F5-A04F1D11DC5C}" sourceName="Semester">
  <extLst>
    <x:ext xmlns:x15="http://schemas.microsoft.com/office/spreadsheetml/2010/11/main" uri="{2F2917AC-EB37-4324-AD4E-5DD8C200BD13}">
      <x15:tableSlicerCache tableId="1" column="9"/>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de" xr10:uid="{C81B9A6A-D768-4B28-87E7-7BC6E33EAA6D}" sourceName="Grade">
  <extLst>
    <x:ext xmlns:x15="http://schemas.microsoft.com/office/spreadsheetml/2010/11/main" uri="{2F2917AC-EB37-4324-AD4E-5DD8C200BD13}">
      <x15:tableSlicerCache tableId="1"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_Category" xr10:uid="{20921B20-CBD1-43EB-B48A-3DF897FA3532}" sourceName="Course Category">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mester" xr10:uid="{5B8FEF7A-7382-492E-85E3-85E4203DE4C7}" cache="Slicer_Semester" caption="Semester" columnCount="2" style="Slicer Style 1" rowHeight="234950"/>
  <slicer name="Grade" xr10:uid="{09B1C517-701E-40C9-89E3-02A8869BD691}" cache="Slicer_Grade" caption="Grade" columnCount="3" style="Slicer Style 1" rowHeight="234950"/>
  <slicer name="Course Category" xr10:uid="{B8828150-30F7-4818-A4FF-24541F93958F}" cache="Slicer_Course_Category" caption="Course Category" columnCount="2"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B42E27-4245-4ED5-82BA-7C633D386DC3}" name="Table1" displayName="Table1" ref="B15:I110" totalsRowShown="0" headerRowDxfId="10" headerRowBorderDxfId="9">
  <autoFilter ref="B15:I110" xr:uid="{C0B42E27-4245-4ED5-82BA-7C633D386DC3}"/>
  <tableColumns count="8">
    <tableColumn id="1" xr3:uid="{3ED66A9D-CEA3-41CA-B7A9-2EE458C4F73B}" name="S. No.">
      <calculatedColumnFormula array="1">IFERROR(INDEX(Data!$A$8:$A$200, SMALL(IF(ISNUMBER(Data!$A$8:$A$200), ROW(Data!$A$8:$A$200)-MIN(ROW(Data!$A$8:$G$200))+1, ""), ROW(1:1))), "")</calculatedColumnFormula>
    </tableColumn>
    <tableColumn id="2" xr3:uid="{107F4348-0357-41C8-A2A2-9D9DD1C1DDE9}" name="Course No" dataDxfId="8">
      <calculatedColumnFormula>_xlfn.XLOOKUP($B16,Data!$A$8:$A$200,Data!B$8:B$200,"",2)</calculatedColumnFormula>
    </tableColumn>
    <tableColumn id="3" xr3:uid="{E345D863-313C-4401-987D-CEEFFB27624C}" name="Course Title">
      <calculatedColumnFormula>_xlfn.XLOOKUP($B16,Data!$A$8:$A$200,Data!C$8:C$200,"",2)</calculatedColumnFormula>
    </tableColumn>
    <tableColumn id="4" xr3:uid="{AD34588D-ABD9-421C-B318-72DF8B17E9AC}" name="Course Category">
      <calculatedColumnFormula>_xlfn.XLOOKUP($B16,Data!$A$8:$A$200,Data!D$8:D$200,"",2)</calculatedColumnFormula>
    </tableColumn>
    <tableColumn id="9" xr3:uid="{F0F391E1-19FC-4D20-B930-43D130D0ABD6}" name="Semester" dataDxfId="7">
      <calculatedColumnFormula>IF(_xlfn.XLOOKUP($B16,Data!$A$8:$A$200,Data!H$8:H$200,"",2) = 0, "-", _xlfn.XLOOKUP($B16,Data!$A$8:$A$200,Data!H$8:H$200,"",2))</calculatedColumnFormula>
    </tableColumn>
    <tableColumn id="5" xr3:uid="{F354B127-4744-4447-AAF7-85EA79BC665F}" name="Credit" dataDxfId="6">
      <calculatedColumnFormula>_xlfn.XLOOKUP($B16,Data!$A$8:$A$200,Data!E$8:E$200,"",2)</calculatedColumnFormula>
    </tableColumn>
    <tableColumn id="6" xr3:uid="{DF904F80-F796-4A02-A2F0-AB1D0B2B76FC}" name="Grade" dataDxfId="5">
      <calculatedColumnFormula>_xlfn.XLOOKUP($B16,Data!$A$8:$A$200,Data!F$8:F$200,"",2)</calculatedColumnFormula>
    </tableColumn>
    <tableColumn id="7" xr3:uid="{490D03F5-55DC-4F77-832E-13BA0449CA4C}" name="Attend" dataDxfId="4">
      <calculatedColumnFormula>_xlfn.XLOOKUP($B16,Data!$A$8:$A$200,Data!G$8:G$200,"",2)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402789-8C25-4DCD-A505-E638047FB530}" name="Table2" displayName="Table2" ref="B2:C4" totalsRowShown="0" headerRowDxfId="3">
  <autoFilter ref="B2:C4" xr:uid="{E5402789-8C25-4DCD-A505-E638047FB530}"/>
  <sortState xmlns:xlrd2="http://schemas.microsoft.com/office/spreadsheetml/2017/richdata2" ref="B3:C15">
    <sortCondition ref="B2:B15"/>
  </sortState>
  <tableColumns count="2">
    <tableColumn id="1" xr3:uid="{D5E2CED5-1BA7-4347-AD95-31F22A9238F8}" name="Username"/>
    <tableColumn id="2" xr3:uid="{146B8E57-EDC8-420A-A280-5FA3E2F394EB}" name="Password"/>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D9730-C5ED-423E-901A-D0949F65073C}">
  <sheetPr codeName="Sheet1"/>
  <dimension ref="A1:T110"/>
  <sheetViews>
    <sheetView tabSelected="1" zoomScale="96" zoomScaleNormal="75" workbookViewId="0">
      <selection activeCell="E13" sqref="E13"/>
    </sheetView>
  </sheetViews>
  <sheetFormatPr defaultColWidth="0" defaultRowHeight="14.4" x14ac:dyDescent="0.3"/>
  <cols>
    <col min="1" max="1" width="2.77734375" customWidth="1"/>
    <col min="2" max="2" width="8.33203125" customWidth="1"/>
    <col min="3" max="3" width="12" customWidth="1"/>
    <col min="4" max="4" width="39.109375" bestFit="1" customWidth="1"/>
    <col min="5" max="5" width="17.21875" bestFit="1" customWidth="1"/>
    <col min="6" max="6" width="11.44140625" bestFit="1" customWidth="1"/>
    <col min="7" max="8" width="10.88671875" bestFit="1" customWidth="1"/>
    <col min="9" max="9" width="11.5546875" bestFit="1" customWidth="1"/>
    <col min="10" max="11" width="8.88671875" customWidth="1"/>
    <col min="12" max="12" width="12.109375" customWidth="1"/>
    <col min="13" max="14" width="8.109375" bestFit="1" customWidth="1"/>
    <col min="15" max="16" width="8.88671875" customWidth="1"/>
    <col min="17" max="17" width="7" customWidth="1"/>
    <col min="18" max="19" width="8.88671875" customWidth="1"/>
    <col min="20" max="20" width="3.88671875" customWidth="1"/>
    <col min="21" max="16384" width="8.88671875" hidden="1"/>
  </cols>
  <sheetData>
    <row r="1" spans="2:19" ht="57.6" customHeight="1" thickBot="1" x14ac:dyDescent="0.35"/>
    <row r="2" spans="2:19" ht="21" x14ac:dyDescent="0.4">
      <c r="C2" s="3" t="s">
        <v>94</v>
      </c>
      <c r="D2" s="19" t="s">
        <v>82</v>
      </c>
      <c r="E2" s="20"/>
      <c r="F2" s="20"/>
      <c r="G2" s="21"/>
      <c r="K2" s="30" t="s">
        <v>96</v>
      </c>
      <c r="L2" s="31"/>
      <c r="M2" s="26" t="str">
        <f>PROPER(TRIM(Data!B1))</f>
        <v xml:space="preserve">Khushdev Yogi_x000D_
_x000D_
</v>
      </c>
      <c r="N2" s="26"/>
      <c r="O2" s="26"/>
      <c r="P2" s="27"/>
    </row>
    <row r="3" spans="2:19" ht="21.6" thickBot="1" x14ac:dyDescent="0.45">
      <c r="C3" s="4" t="s">
        <v>95</v>
      </c>
      <c r="D3" s="22" t="e">
        <f>VLOOKUP(LOWER(D2),Table2[],2,FALSE)</f>
        <v>#N/A</v>
      </c>
      <c r="E3" s="23"/>
      <c r="F3" s="23"/>
      <c r="G3" s="24"/>
      <c r="H3" s="18"/>
      <c r="K3" s="32" t="s">
        <v>97</v>
      </c>
      <c r="L3" s="33"/>
      <c r="M3" s="28" t="str">
        <f>UPPER(PROPER(Data!B2))</f>
        <v>CE21B070</v>
      </c>
      <c r="N3" s="28"/>
      <c r="O3" s="28"/>
      <c r="P3" s="29"/>
    </row>
    <row r="4" spans="2:19" ht="21" x14ac:dyDescent="0.4">
      <c r="C4" s="14"/>
      <c r="D4" s="15"/>
      <c r="E4" s="15"/>
      <c r="F4" s="15"/>
      <c r="G4" s="15"/>
      <c r="K4" s="16"/>
      <c r="L4" s="16"/>
      <c r="M4" s="17"/>
      <c r="N4" s="17"/>
      <c r="O4" s="17"/>
      <c r="P4" s="17"/>
      <c r="R4" s="25" t="s">
        <v>107</v>
      </c>
      <c r="S4" s="25"/>
    </row>
    <row r="5" spans="2:19" ht="21" x14ac:dyDescent="0.4">
      <c r="C5" s="14"/>
      <c r="D5" s="15"/>
      <c r="E5" s="15"/>
      <c r="F5" s="15"/>
      <c r="G5" s="15"/>
      <c r="K5" s="16"/>
      <c r="L5" s="16"/>
      <c r="M5" s="17"/>
      <c r="N5" s="17"/>
      <c r="O5" s="17"/>
      <c r="P5" s="17"/>
      <c r="R5" s="7" t="s">
        <v>51</v>
      </c>
      <c r="S5" s="5">
        <v>10</v>
      </c>
    </row>
    <row r="6" spans="2:19" ht="21" x14ac:dyDescent="0.4">
      <c r="C6" s="14"/>
      <c r="D6" s="15"/>
      <c r="E6" s="15"/>
      <c r="F6" s="15"/>
      <c r="G6" s="15"/>
      <c r="K6" s="16"/>
      <c r="L6" s="16"/>
      <c r="M6" s="17"/>
      <c r="N6" s="17"/>
      <c r="O6" s="17"/>
      <c r="P6" s="17"/>
      <c r="R6" s="7" t="s">
        <v>29</v>
      </c>
      <c r="S6" s="5">
        <v>9</v>
      </c>
    </row>
    <row r="7" spans="2:19" ht="21" x14ac:dyDescent="0.4">
      <c r="C7" s="14"/>
      <c r="D7" s="15"/>
      <c r="E7" s="15"/>
      <c r="F7" s="15"/>
      <c r="G7" s="15"/>
      <c r="K7" s="16"/>
      <c r="L7" s="16"/>
      <c r="M7" s="17"/>
      <c r="N7" s="17"/>
      <c r="O7" s="17"/>
      <c r="P7" s="17"/>
      <c r="R7" s="7" t="s">
        <v>20</v>
      </c>
      <c r="S7" s="5">
        <v>8</v>
      </c>
    </row>
    <row r="8" spans="2:19" ht="21" x14ac:dyDescent="0.4">
      <c r="C8" s="14"/>
      <c r="D8" s="15"/>
      <c r="E8" s="15"/>
      <c r="F8" s="15"/>
      <c r="G8" s="15"/>
      <c r="K8" s="16"/>
      <c r="L8" s="16"/>
      <c r="M8" s="17"/>
      <c r="N8" s="17"/>
      <c r="O8" s="17"/>
      <c r="P8" s="17"/>
      <c r="R8" s="7" t="s">
        <v>16</v>
      </c>
      <c r="S8" s="5">
        <v>7</v>
      </c>
    </row>
    <row r="9" spans="2:19" ht="21" x14ac:dyDescent="0.4">
      <c r="C9" s="14"/>
      <c r="D9" s="15"/>
      <c r="E9" s="15"/>
      <c r="F9" s="15"/>
      <c r="G9" s="15"/>
      <c r="K9" s="16"/>
      <c r="L9" s="16"/>
      <c r="M9" s="17"/>
      <c r="N9" s="17"/>
      <c r="O9" s="17"/>
      <c r="P9" s="17"/>
      <c r="R9" s="7" t="s">
        <v>23</v>
      </c>
      <c r="S9" s="5">
        <v>6</v>
      </c>
    </row>
    <row r="10" spans="2:19" ht="21" x14ac:dyDescent="0.4">
      <c r="C10" s="34" t="s">
        <v>141</v>
      </c>
      <c r="D10" s="34"/>
      <c r="E10" s="34"/>
      <c r="F10" s="34"/>
      <c r="G10" s="34"/>
      <c r="K10" s="16"/>
      <c r="L10" s="16"/>
      <c r="M10" s="17"/>
      <c r="N10" s="17"/>
      <c r="O10" s="17"/>
      <c r="P10" s="17"/>
      <c r="R10" s="7" t="s">
        <v>99</v>
      </c>
      <c r="S10" s="5">
        <v>4</v>
      </c>
    </row>
    <row r="11" spans="2:19" ht="21" x14ac:dyDescent="0.4">
      <c r="C11" s="34" t="s">
        <v>142</v>
      </c>
      <c r="D11" s="34"/>
      <c r="E11" s="34"/>
      <c r="F11" s="34"/>
      <c r="G11" s="34"/>
      <c r="K11" s="16"/>
      <c r="L11" s="16"/>
      <c r="M11" s="17"/>
      <c r="N11" s="17"/>
      <c r="O11" s="17"/>
      <c r="P11" s="17"/>
      <c r="R11" s="7" t="s">
        <v>100</v>
      </c>
      <c r="S11" s="5">
        <v>0</v>
      </c>
    </row>
    <row r="12" spans="2:19" ht="21" x14ac:dyDescent="0.4">
      <c r="C12" s="34" t="s">
        <v>143</v>
      </c>
      <c r="D12" s="34"/>
      <c r="E12" s="34"/>
      <c r="F12" s="34"/>
      <c r="G12" s="34"/>
      <c r="K12" s="16"/>
      <c r="L12" s="16"/>
      <c r="M12" s="17"/>
      <c r="N12" s="17"/>
      <c r="O12" s="17"/>
      <c r="P12" s="17"/>
      <c r="R12" s="7" t="s">
        <v>105</v>
      </c>
      <c r="S12" s="5">
        <v>0</v>
      </c>
    </row>
    <row r="13" spans="2:19" ht="21" x14ac:dyDescent="0.4">
      <c r="C13" s="14"/>
      <c r="D13" s="15"/>
      <c r="E13" s="15"/>
      <c r="F13" s="15"/>
      <c r="G13" s="15"/>
      <c r="K13" s="16"/>
      <c r="L13" s="16"/>
      <c r="M13" s="17"/>
      <c r="N13" s="17"/>
      <c r="O13" s="17"/>
      <c r="P13" s="17"/>
      <c r="R13" s="7" t="s">
        <v>106</v>
      </c>
      <c r="S13" s="5">
        <v>0</v>
      </c>
    </row>
    <row r="15" spans="2:19" x14ac:dyDescent="0.3">
      <c r="B15" s="2" t="s">
        <v>98</v>
      </c>
      <c r="C15" s="2" t="s">
        <v>1</v>
      </c>
      <c r="D15" s="2" t="s">
        <v>2</v>
      </c>
      <c r="E15" s="2" t="s">
        <v>3</v>
      </c>
      <c r="F15" s="2" t="s">
        <v>101</v>
      </c>
      <c r="G15" s="8" t="s">
        <v>4</v>
      </c>
      <c r="H15" s="8" t="s">
        <v>5</v>
      </c>
      <c r="I15" s="8" t="s">
        <v>6</v>
      </c>
      <c r="K15" s="6" t="s">
        <v>101</v>
      </c>
      <c r="L15" s="6" t="s">
        <v>103</v>
      </c>
      <c r="M15" s="6" t="s">
        <v>104</v>
      </c>
      <c r="N15" s="6" t="s">
        <v>102</v>
      </c>
    </row>
    <row r="16" spans="2:19" x14ac:dyDescent="0.3">
      <c r="B16" cm="1">
        <f t="array" ref="B16">IFERROR(INDEX(Data!$A$8:$A$200, SMALL(IF(ISNUMBER(Data!$A$8:$A$200), ROW(Data!$A$8:$A$200)-MIN(ROW(Data!$A$8:$G$200))+1, ""), ROW(1:1))), "")</f>
        <v>1</v>
      </c>
      <c r="C16" s="9" t="str">
        <f>_xlfn.XLOOKUP($B16,Data!$A$8:$A$200,Data!B$8:B$200,"",2)</f>
        <v>GN1101</v>
      </c>
      <c r="D16" t="str">
        <f>_xlfn.XLOOKUP($B16,Data!$A$8:$A$200,Data!C$8:C$200,"",2)</f>
        <v>Life Skills 1</v>
      </c>
      <c r="E16" t="str">
        <f>_xlfn.XLOOKUP($B16,Data!$A$8:$A$200,Data!D$8:D$200,"",2)</f>
        <v xml:space="preserve">Science </v>
      </c>
      <c r="F16">
        <f>IF(_xlfn.XLOOKUP($B16,Data!$A$8:$A$200,Data!H$8:H$200,"",2) = 0, "-", _xlfn.XLOOKUP($B16,Data!$A$8:$A$200,Data!H$8:H$200,"",2))</f>
        <v>1</v>
      </c>
      <c r="G16" s="9">
        <f>_xlfn.XLOOKUP($B16,Data!$A$8:$A$200,Data!E$8:E$200,"",2)</f>
        <v>0</v>
      </c>
      <c r="H16" s="9" t="str">
        <f>_xlfn.XLOOKUP($B16,Data!$A$8:$A$200,Data!F$8:F$200,"",2)</f>
        <v>P</v>
      </c>
      <c r="I16" s="9" t="str">
        <f>_xlfn.XLOOKUP($B16,Data!$A$8:$A$200,Data!G$8:G$200,"",2)</f>
        <v xml:space="preserve">G </v>
      </c>
      <c r="K16" s="10">
        <v>1</v>
      </c>
      <c r="L16" s="11" cm="1">
        <f t="array" ref="L16">IFERROR(INDEX(_xlfn._xlws.FILTER(Data!$A$6:$H$200, (Data!$A$6:$A$200 = Dashboard!$L$15)*(Data!$H$6:$H$200 = Dashboard!$K16)), 1, 2), "-")</f>
        <v>27</v>
      </c>
      <c r="M16" s="12" cm="1">
        <f t="array" ref="M16">IFERROR(INDEX(_xlfn._xlws.FILTER(Data!$A$6:$H$200, (Data!$A$6:$A$200 = Dashboard!$L$15)*(Data!$H$6:$H$200 = Dashboard!$K16)), 1, 4), "-")</f>
        <v>6.89</v>
      </c>
      <c r="N16" s="12" cm="1">
        <f t="array" ref="N16">IFERROR(INDEX(_xlfn._xlws.FILTER(Data!$A$6:$H$200, (Data!$A$6:$A$200 = Dashboard!$L$15)*(Data!$H$6:$H$200 = Dashboard!$K16)), 1, 6), "-")</f>
        <v>6.89</v>
      </c>
    </row>
    <row r="17" spans="2:14" x14ac:dyDescent="0.3">
      <c r="B17" cm="1">
        <f t="array" ref="B17">IFERROR(INDEX(Data!$A$8:$A$200, SMALL(IF(ISNUMBER(Data!$A$8:$A$200), ROW(Data!$A$8:$A$200)-MIN(ROW(Data!$A$8:$G$200))+1, ""), ROW(2:2))), "")</f>
        <v>2</v>
      </c>
      <c r="C17" s="9" t="str">
        <f>_xlfn.XLOOKUP($B17,Data!$A$8:$A$200,Data!B$8:B$200,"",2)</f>
        <v xml:space="preserve">ID1200 </v>
      </c>
      <c r="D17" t="str">
        <f>_xlfn.XLOOKUP($B17,Data!$A$8:$A$200,Data!C$8:C$200,"",2)</f>
        <v>Ecology and Environment</v>
      </c>
      <c r="E17" t="str">
        <f>_xlfn.XLOOKUP($B17,Data!$A$8:$A$200,Data!D$8:D$200,"",2)</f>
        <v xml:space="preserve">Science </v>
      </c>
      <c r="F17">
        <f>IF(_xlfn.XLOOKUP($B17,Data!$A$8:$A$200,Data!H$8:H$200,"",2) = 0, "-", _xlfn.XLOOKUP($B17,Data!$A$8:$A$200,Data!H$8:H$200,"",2))</f>
        <v>1</v>
      </c>
      <c r="G17" s="9">
        <f>_xlfn.XLOOKUP($B17,Data!$A$8:$A$200,Data!E$8:E$200,"",2)</f>
        <v>0</v>
      </c>
      <c r="H17" s="9" t="str">
        <f>_xlfn.XLOOKUP($B17,Data!$A$8:$A$200,Data!F$8:F$200,"",2)</f>
        <v>P</v>
      </c>
      <c r="I17" s="9" t="str">
        <f>_xlfn.XLOOKUP($B17,Data!$A$8:$A$200,Data!G$8:G$200,"",2)</f>
        <v>VG</v>
      </c>
      <c r="K17" s="10">
        <v>2</v>
      </c>
      <c r="L17" s="11" cm="1">
        <f t="array" ref="L17">IFERROR(INDEX(_xlfn._xlws.FILTER(Data!$A$6:$H$200, (Data!$A$6:$A$200 = Dashboard!$L$15)*(Data!$H$6:$H$200 = Dashboard!$K17)), 1, 2), "-")</f>
        <v>73</v>
      </c>
      <c r="M17" s="12" cm="1">
        <f t="array" ref="M17">IFERROR(INDEX(_xlfn._xlws.FILTER(Data!$A$6:$H$200, (Data!$A$6:$A$200 = Dashboard!$L$15)*(Data!$H$6:$H$200 = Dashboard!$K17)), 1, 4), "-")</f>
        <v>8.32</v>
      </c>
      <c r="N17" s="12" cm="1">
        <f t="array" ref="N17">IFERROR(INDEX(_xlfn._xlws.FILTER(Data!$A$6:$H$200, (Data!$A$6:$A$200 = Dashboard!$L$15)*(Data!$H$6:$H$200 = Dashboard!$K17)), 1, 6), "-")</f>
        <v>7.93</v>
      </c>
    </row>
    <row r="18" spans="2:14" x14ac:dyDescent="0.3">
      <c r="B18" cm="1">
        <f t="array" ref="B18">IFERROR(INDEX(Data!$A$8:$A$200, SMALL(IF(ISNUMBER(Data!$A$8:$A$200), ROW(Data!$A$8:$A$200)-MIN(ROW(Data!$A$8:$G$200))+1, ""), ROW(3:3))), "")</f>
        <v>3</v>
      </c>
      <c r="C18" s="9" t="str">
        <f>_xlfn.XLOOKUP($B18,Data!$A$8:$A$200,Data!B$8:B$200,"",2)</f>
        <v>MA1101</v>
      </c>
      <c r="D18" t="str">
        <f>_xlfn.XLOOKUP($B18,Data!$A$8:$A$200,Data!C$8:C$200,"",2)</f>
        <v>Functions of Several Variables</v>
      </c>
      <c r="E18" t="str">
        <f>_xlfn.XLOOKUP($B18,Data!$A$8:$A$200,Data!D$8:D$200,"",2)</f>
        <v xml:space="preserve">Science </v>
      </c>
      <c r="F18">
        <f>IF(_xlfn.XLOOKUP($B18,Data!$A$8:$A$200,Data!H$8:H$200,"",2) = 0, "-", _xlfn.XLOOKUP($B18,Data!$A$8:$A$200,Data!H$8:H$200,"",2))</f>
        <v>1</v>
      </c>
      <c r="G18" s="9">
        <f>_xlfn.XLOOKUP($B18,Data!$A$8:$A$200,Data!E$8:E$200,"",2)</f>
        <v>10</v>
      </c>
      <c r="H18" s="9" t="str">
        <f>_xlfn.XLOOKUP($B18,Data!$A$8:$A$200,Data!F$8:F$200,"",2)</f>
        <v>C</v>
      </c>
      <c r="I18" s="9" t="str">
        <f>_xlfn.XLOOKUP($B18,Data!$A$8:$A$200,Data!G$8:G$200,"",2)</f>
        <v>VG</v>
      </c>
      <c r="K18" s="10">
        <v>3</v>
      </c>
      <c r="L18" s="11" cm="1">
        <f t="array" ref="L18">IFERROR(INDEX(_xlfn._xlws.FILTER(Data!$A$6:$H$200, (Data!$A$6:$A$200 = Dashboard!$L$15)*(Data!$H$6:$H$200 = Dashboard!$K18)), 1, 2), "-")</f>
        <v>50</v>
      </c>
      <c r="M18" s="12" cm="1">
        <f t="array" ref="M18">IFERROR(INDEX(_xlfn._xlws.FILTER(Data!$A$6:$H$200, (Data!$A$6:$A$200 = Dashboard!$L$15)*(Data!$H$6:$H$200 = Dashboard!$K18)), 1, 4), "-")</f>
        <v>8.06</v>
      </c>
      <c r="N18" s="12" cm="1">
        <f t="array" ref="N18">IFERROR(INDEX(_xlfn._xlws.FILTER(Data!$A$6:$H$200, (Data!$A$6:$A$200 = Dashboard!$L$15)*(Data!$H$6:$H$200 = Dashboard!$K18)), 1, 6), "-")</f>
        <v>7.99</v>
      </c>
    </row>
    <row r="19" spans="2:14" x14ac:dyDescent="0.3">
      <c r="B19" cm="1">
        <f t="array" ref="B19">IFERROR(INDEX(Data!$A$8:$A$200, SMALL(IF(ISNUMBER(Data!$A$8:$A$200), ROW(Data!$A$8:$A$200)-MIN(ROW(Data!$A$8:$G$200))+1, ""), ROW(4:4))), "")</f>
        <v>4</v>
      </c>
      <c r="C19" s="9" t="str">
        <f>_xlfn.XLOOKUP($B19,Data!$A$8:$A$200,Data!B$8:B$200,"",2)</f>
        <v>ME1480</v>
      </c>
      <c r="D19" t="str">
        <f>_xlfn.XLOOKUP($B19,Data!$A$8:$A$200,Data!C$8:C$200,"",2)</f>
        <v>Engineering Drawing</v>
      </c>
      <c r="E19" t="str">
        <f>_xlfn.XLOOKUP($B19,Data!$A$8:$A$200,Data!D$8:D$200,"",2)</f>
        <v xml:space="preserve">Engineering </v>
      </c>
      <c r="F19">
        <f>IF(_xlfn.XLOOKUP($B19,Data!$A$8:$A$200,Data!H$8:H$200,"",2) = 0, "-", _xlfn.XLOOKUP($B19,Data!$A$8:$A$200,Data!H$8:H$200,"",2))</f>
        <v>1</v>
      </c>
      <c r="G19" s="9">
        <f>_xlfn.XLOOKUP($B19,Data!$A$8:$A$200,Data!E$8:E$200,"",2)</f>
        <v>7</v>
      </c>
      <c r="H19" s="9" t="str">
        <f>_xlfn.XLOOKUP($B19,Data!$A$8:$A$200,Data!F$8:F$200,"",2)</f>
        <v>B</v>
      </c>
      <c r="I19" s="9" t="str">
        <f>_xlfn.XLOOKUP($B19,Data!$A$8:$A$200,Data!G$8:G$200,"",2)</f>
        <v xml:space="preserve">G </v>
      </c>
      <c r="K19" s="10">
        <v>4</v>
      </c>
      <c r="L19" s="11" cm="1">
        <f t="array" ref="L19">IFERROR(INDEX(_xlfn._xlws.FILTER(Data!$A$6:$H$200, (Data!$A$6:$A$200 = Dashboard!$L$15)*(Data!$H$6:$H$200 = Dashboard!$K19)), 1, 2), "-")</f>
        <v>59</v>
      </c>
      <c r="M19" s="12" cm="1">
        <f t="array" ref="M19">IFERROR(INDEX(_xlfn._xlws.FILTER(Data!$A$6:$H$200, (Data!$A$6:$A$200 = Dashboard!$L$15)*(Data!$H$6:$H$200 = Dashboard!$K19)), 1, 4), "-")</f>
        <v>8.34</v>
      </c>
      <c r="N19" s="12" cm="1">
        <f t="array" ref="N19">IFERROR(INDEX(_xlfn._xlws.FILTER(Data!$A$6:$H$200, (Data!$A$6:$A$200 = Dashboard!$L$15)*(Data!$H$6:$H$200 = Dashboard!$K19)), 1, 6), "-")</f>
        <v>8.09</v>
      </c>
    </row>
    <row r="20" spans="2:14" x14ac:dyDescent="0.3">
      <c r="B20" cm="1">
        <f t="array" ref="B20">IFERROR(INDEX(Data!$A$8:$A$200, SMALL(IF(ISNUMBER(Data!$A$8:$A$200), ROW(Data!$A$8:$A$200)-MIN(ROW(Data!$A$8:$G$200))+1, ""), ROW(5:5))), "")</f>
        <v>5</v>
      </c>
      <c r="C20" s="9" t="str">
        <f>_xlfn.XLOOKUP($B20,Data!$A$8:$A$200,Data!B$8:B$200,"",2)</f>
        <v>PH1010</v>
      </c>
      <c r="D20" t="str">
        <f>_xlfn.XLOOKUP($B20,Data!$A$8:$A$200,Data!C$8:C$200,"",2)</f>
        <v>Physics I</v>
      </c>
      <c r="E20" t="str">
        <f>_xlfn.XLOOKUP($B20,Data!$A$8:$A$200,Data!D$8:D$200,"",2)</f>
        <v xml:space="preserve">Science </v>
      </c>
      <c r="F20">
        <f>IF(_xlfn.XLOOKUP($B20,Data!$A$8:$A$200,Data!H$8:H$200,"",2) = 0, "-", _xlfn.XLOOKUP($B20,Data!$A$8:$A$200,Data!H$8:H$200,"",2))</f>
        <v>1</v>
      </c>
      <c r="G20" s="9">
        <f>_xlfn.XLOOKUP($B20,Data!$A$8:$A$200,Data!E$8:E$200,"",2)</f>
        <v>10</v>
      </c>
      <c r="H20" s="9" t="str">
        <f>_xlfn.XLOOKUP($B20,Data!$A$8:$A$200,Data!F$8:F$200,"",2)</f>
        <v>D</v>
      </c>
      <c r="I20" s="9" t="str">
        <f>_xlfn.XLOOKUP($B20,Data!$A$8:$A$200,Data!G$8:G$200,"",2)</f>
        <v>VG</v>
      </c>
      <c r="K20" s="10">
        <v>5</v>
      </c>
      <c r="L20" s="11" cm="1">
        <f t="array" ref="L20">IFERROR(INDEX(_xlfn._xlws.FILTER(Data!$A$6:$H$200, (Data!$A$6:$A$200 = Dashboard!$L$15)*(Data!$H$6:$H$200 = Dashboard!$K20)), 1, 2), "-")</f>
        <v>60</v>
      </c>
      <c r="M20" s="12" cm="1">
        <f t="array" ref="M20">IFERROR(INDEX(_xlfn._xlws.FILTER(Data!$A$6:$H$200, (Data!$A$6:$A$200 = Dashboard!$L$15)*(Data!$H$6:$H$200 = Dashboard!$K20)), 1, 4), "-")</f>
        <v>8.6199999999999992</v>
      </c>
      <c r="N20" s="12" cm="1">
        <f t="array" ref="N20">IFERROR(INDEX(_xlfn._xlws.FILTER(Data!$A$6:$H$200, (Data!$A$6:$A$200 = Dashboard!$L$15)*(Data!$H$6:$H$200 = Dashboard!$K20)), 1, 6), "-")</f>
        <v>8.2100000000000009</v>
      </c>
    </row>
    <row r="21" spans="2:14" x14ac:dyDescent="0.3">
      <c r="B21" cm="1">
        <f t="array" ref="B21">IFERROR(INDEX(Data!$A$8:$A$200, SMALL(IF(ISNUMBER(Data!$A$8:$A$200), ROW(Data!$A$8:$A$200)-MIN(ROW(Data!$A$8:$G$200))+1, ""), ROW(6:6))), "")</f>
        <v>6</v>
      </c>
      <c r="C21" s="9" t="str">
        <f>_xlfn.XLOOKUP($B21,Data!$A$8:$A$200,Data!B$8:B$200,"",2)</f>
        <v>AM1100A</v>
      </c>
      <c r="D21" t="str">
        <f>_xlfn.XLOOKUP($B21,Data!$A$8:$A$200,Data!C$8:C$200,"",2)</f>
        <v>Engineering Mechanics</v>
      </c>
      <c r="E21" t="str">
        <f>_xlfn.XLOOKUP($B21,Data!$A$8:$A$200,Data!D$8:D$200,"",2)</f>
        <v xml:space="preserve">Engineering </v>
      </c>
      <c r="F21">
        <f>IF(_xlfn.XLOOKUP($B21,Data!$A$8:$A$200,Data!H$8:H$200,"",2) = 0, "-", _xlfn.XLOOKUP($B21,Data!$A$8:$A$200,Data!H$8:H$200,"",2))</f>
        <v>2</v>
      </c>
      <c r="G21" s="9">
        <f>_xlfn.XLOOKUP($B21,Data!$A$8:$A$200,Data!E$8:E$200,"",2)</f>
        <v>10</v>
      </c>
      <c r="H21" s="9" t="str">
        <f>_xlfn.XLOOKUP($B21,Data!$A$8:$A$200,Data!F$8:F$200,"",2)</f>
        <v>B</v>
      </c>
      <c r="I21" s="9" t="str">
        <f>_xlfn.XLOOKUP($B21,Data!$A$8:$A$200,Data!G$8:G$200,"",2)</f>
        <v>VG</v>
      </c>
      <c r="K21" s="10">
        <v>6</v>
      </c>
      <c r="L21" s="11" cm="1">
        <f t="array" ref="L21">IFERROR(INDEX(_xlfn._xlws.FILTER(Data!$A$6:$H$200, (Data!$A$6:$A$200 = Dashboard!$L$15)*(Data!$H$6:$H$200 = Dashboard!$K21)), 1, 2), "-")</f>
        <v>64</v>
      </c>
      <c r="M21" s="12" cm="1">
        <f t="array" ref="M21">IFERROR(INDEX(_xlfn._xlws.FILTER(Data!$A$6:$H$200, (Data!$A$6:$A$200 = Dashboard!$L$15)*(Data!$H$6:$H$200 = Dashboard!$K21)), 1, 4), "-")</f>
        <v>8.8800000000000008</v>
      </c>
      <c r="N21" s="12" cm="1">
        <f t="array" ref="N21">IFERROR(INDEX(_xlfn._xlws.FILTER(Data!$A$6:$H$200, (Data!$A$6:$A$200 = Dashboard!$L$15)*(Data!$H$6:$H$200 = Dashboard!$K21)), 1, 6), "-")</f>
        <v>8.33</v>
      </c>
    </row>
    <row r="22" spans="2:14" x14ac:dyDescent="0.3">
      <c r="B22" cm="1">
        <f t="array" ref="B22">IFERROR(INDEX(Data!$A$8:$A$200, SMALL(IF(ISNUMBER(Data!$A$8:$A$200), ROW(Data!$A$8:$A$200)-MIN(ROW(Data!$A$8:$G$200))+1, ""), ROW(7:7))), "")</f>
        <v>7</v>
      </c>
      <c r="C22" s="9" t="str">
        <f>_xlfn.XLOOKUP($B22,Data!$A$8:$A$200,Data!B$8:B$200,"",2)</f>
        <v>CE1010</v>
      </c>
      <c r="D22" t="str">
        <f>_xlfn.XLOOKUP($B22,Data!$A$8:$A$200,Data!C$8:C$200,"",2)</f>
        <v>Introduction to Civil Engineering Profession</v>
      </c>
      <c r="E22" t="str">
        <f>_xlfn.XLOOKUP($B22,Data!$A$8:$A$200,Data!D$8:D$200,"",2)</f>
        <v xml:space="preserve">Professional </v>
      </c>
      <c r="F22">
        <f>IF(_xlfn.XLOOKUP($B22,Data!$A$8:$A$200,Data!H$8:H$200,"",2) = 0, "-", _xlfn.XLOOKUP($B22,Data!$A$8:$A$200,Data!H$8:H$200,"",2))</f>
        <v>2</v>
      </c>
      <c r="G22" s="9">
        <f>_xlfn.XLOOKUP($B22,Data!$A$8:$A$200,Data!E$8:E$200,"",2)</f>
        <v>8</v>
      </c>
      <c r="H22" s="9" t="str">
        <f>_xlfn.XLOOKUP($B22,Data!$A$8:$A$200,Data!F$8:F$200,"",2)</f>
        <v>A</v>
      </c>
      <c r="I22" s="9" t="str">
        <f>_xlfn.XLOOKUP($B22,Data!$A$8:$A$200,Data!G$8:G$200,"",2)</f>
        <v>VG</v>
      </c>
      <c r="K22" s="10">
        <v>7</v>
      </c>
      <c r="L22" s="11" cm="1">
        <f t="array" ref="L22">IFERROR(INDEX(_xlfn._xlws.FILTER(Data!$A$6:$H$200, (Data!$A$6:$A$200 = Dashboard!$L$15)*(Data!$H$6:$H$200 = Dashboard!$K22)), 1, 2), "")</f>
        <v>0</v>
      </c>
      <c r="M22" s="12" cm="1">
        <f t="array" ref="M22">IFERROR(INDEX(_xlfn._xlws.FILTER(Data!$A$6:$H$200, (Data!$A$6:$A$200 = Dashboard!$L$15)*(Data!$H$6:$H$200 = Dashboard!$K22)), 1, 4), "")</f>
        <v>0</v>
      </c>
      <c r="N22" s="12" cm="1">
        <f t="array" ref="N22">IFERROR(INDEX(_xlfn._xlws.FILTER(Data!$A$6:$H$200, (Data!$A$6:$A$200 = Dashboard!$L$15)*(Data!$H$6:$H$200 = Dashboard!$K22)), 1, 6), "")</f>
        <v>8.33</v>
      </c>
    </row>
    <row r="23" spans="2:14" x14ac:dyDescent="0.3">
      <c r="B23" cm="1">
        <f t="array" ref="B23">IFERROR(INDEX(Data!$A$8:$A$200, SMALL(IF(ISNUMBER(Data!$A$8:$A$200), ROW(Data!$A$8:$A$200)-MIN(ROW(Data!$A$8:$G$200))+1, ""), ROW(8:8))), "")</f>
        <v>8</v>
      </c>
      <c r="C23" s="9" t="str">
        <f>_xlfn.XLOOKUP($B23,Data!$A$8:$A$200,Data!B$8:B$200,"",2)</f>
        <v>CE2330</v>
      </c>
      <c r="D23" t="str">
        <f>_xlfn.XLOOKUP($B23,Data!$A$8:$A$200,Data!C$8:C$200,"",2)</f>
        <v xml:space="preserve">Civil Engineering Materials and Construction </v>
      </c>
      <c r="E23" t="str">
        <f>_xlfn.XLOOKUP($B23,Data!$A$8:$A$200,Data!D$8:D$200,"",2)</f>
        <v xml:space="preserve">Professional </v>
      </c>
      <c r="F23">
        <f>IF(_xlfn.XLOOKUP($B23,Data!$A$8:$A$200,Data!H$8:H$200,"",2) = 0, "-", _xlfn.XLOOKUP($B23,Data!$A$8:$A$200,Data!H$8:H$200,"",2))</f>
        <v>2</v>
      </c>
      <c r="G23" s="9">
        <f>_xlfn.XLOOKUP($B23,Data!$A$8:$A$200,Data!E$8:E$200,"",2)</f>
        <v>9</v>
      </c>
      <c r="H23" s="9" t="str">
        <f>_xlfn.XLOOKUP($B23,Data!$A$8:$A$200,Data!F$8:F$200,"",2)</f>
        <v>A</v>
      </c>
      <c r="I23" s="9" t="str">
        <f>_xlfn.XLOOKUP($B23,Data!$A$8:$A$200,Data!G$8:G$200,"",2)</f>
        <v>VG</v>
      </c>
      <c r="K23" s="10">
        <v>8</v>
      </c>
      <c r="L23" s="11" t="str" cm="1">
        <f t="array" ref="L23">IFERROR(INDEX(_xlfn._xlws.FILTER(Data!$A$6:$H$200, (Data!$A$6:$A$200 = Dashboard!$L$15)*(Data!$H$6:$H$200 = Dashboard!$K23)), 1, 2), "")</f>
        <v/>
      </c>
      <c r="M23" s="12" t="str" cm="1">
        <f t="array" ref="M23">IFERROR(INDEX(_xlfn._xlws.FILTER(Data!$A$6:$H$200, (Data!$A$6:$A$200 = Dashboard!$L$15)*(Data!$H$6:$H$200 = Dashboard!$K23)), 1, 4), "")</f>
        <v/>
      </c>
      <c r="N23" s="12" t="str" cm="1">
        <f t="array" ref="N23">IFERROR(INDEX(_xlfn._xlws.FILTER(Data!$A$6:$H$200, (Data!$A$6:$A$200 = Dashboard!$L$15)*(Data!$H$6:$H$200 = Dashboard!$K23)), 1, 6), "")</f>
        <v/>
      </c>
    </row>
    <row r="24" spans="2:14" x14ac:dyDescent="0.3">
      <c r="B24" cm="1">
        <f t="array" ref="B24">IFERROR(INDEX(Data!$A$8:$A$200, SMALL(IF(ISNUMBER(Data!$A$8:$A$200), ROW(Data!$A$8:$A$200)-MIN(ROW(Data!$A$8:$G$200))+1, ""), ROW(9:9))), "")</f>
        <v>9</v>
      </c>
      <c r="C24" s="9" t="str">
        <f>_xlfn.XLOOKUP($B24,Data!$A$8:$A$200,Data!B$8:B$200,"",2)</f>
        <v>CS1100</v>
      </c>
      <c r="D24" t="str">
        <f>_xlfn.XLOOKUP($B24,Data!$A$8:$A$200,Data!C$8:C$200,"",2)</f>
        <v>Introduction to Programming</v>
      </c>
      <c r="E24" t="str">
        <f>_xlfn.XLOOKUP($B24,Data!$A$8:$A$200,Data!D$8:D$200,"",2)</f>
        <v xml:space="preserve">Engineering </v>
      </c>
      <c r="F24">
        <f>IF(_xlfn.XLOOKUP($B24,Data!$A$8:$A$200,Data!H$8:H$200,"",2) = 0, "-", _xlfn.XLOOKUP($B24,Data!$A$8:$A$200,Data!H$8:H$200,"",2))</f>
        <v>2</v>
      </c>
      <c r="G24" s="9">
        <f>_xlfn.XLOOKUP($B24,Data!$A$8:$A$200,Data!E$8:E$200,"",2)</f>
        <v>12</v>
      </c>
      <c r="H24" s="9" t="str">
        <f>_xlfn.XLOOKUP($B24,Data!$A$8:$A$200,Data!F$8:F$200,"",2)</f>
        <v>A</v>
      </c>
      <c r="I24" s="9" t="str">
        <f>_xlfn.XLOOKUP($B24,Data!$A$8:$A$200,Data!G$8:G$200,"",2)</f>
        <v>VG</v>
      </c>
    </row>
    <row r="25" spans="2:14" x14ac:dyDescent="0.3">
      <c r="B25" cm="1">
        <f t="array" ref="B25">IFERROR(INDEX(Data!$A$8:$A$200, SMALL(IF(ISNUMBER(Data!$A$8:$A$200), ROW(Data!$A$8:$A$200)-MIN(ROW(Data!$A$8:$G$200))+1, ""), ROW(10:10))), "")</f>
        <v>10</v>
      </c>
      <c r="C25" s="9" t="str">
        <f>_xlfn.XLOOKUP($B25,Data!$A$8:$A$200,Data!B$8:B$200,"",2)</f>
        <v>CY1001#</v>
      </c>
      <c r="D25" t="str">
        <f>_xlfn.XLOOKUP($B25,Data!$A$8:$A$200,Data!C$8:C$200,"",2)</f>
        <v>Chemistry I: Structure, Bonding &amp; Reactivity</v>
      </c>
      <c r="E25" t="str">
        <f>_xlfn.XLOOKUP($B25,Data!$A$8:$A$200,Data!D$8:D$200,"",2)</f>
        <v xml:space="preserve">Science </v>
      </c>
      <c r="F25">
        <f>IF(_xlfn.XLOOKUP($B25,Data!$A$8:$A$200,Data!H$8:H$200,"",2) = 0, "-", _xlfn.XLOOKUP($B25,Data!$A$8:$A$200,Data!H$8:H$200,"",2))</f>
        <v>2</v>
      </c>
      <c r="G25" s="9">
        <f>_xlfn.XLOOKUP($B25,Data!$A$8:$A$200,Data!E$8:E$200,"",2)</f>
        <v>10</v>
      </c>
      <c r="H25" s="9" t="str">
        <f>_xlfn.XLOOKUP($B25,Data!$A$8:$A$200,Data!F$8:F$200,"",2)</f>
        <v>A</v>
      </c>
      <c r="I25" s="9" t="str">
        <f>_xlfn.XLOOKUP($B25,Data!$A$8:$A$200,Data!G$8:G$200,"",2)</f>
        <v xml:space="preserve">G </v>
      </c>
    </row>
    <row r="26" spans="2:14" x14ac:dyDescent="0.3">
      <c r="B26" cm="1">
        <f t="array" ref="B26">IFERROR(INDEX(Data!$A$8:$A$200, SMALL(IF(ISNUMBER(Data!$A$8:$A$200), ROW(Data!$A$8:$A$200)-MIN(ROW(Data!$A$8:$G$200))+1, ""), ROW(11:11))), "")</f>
        <v>11</v>
      </c>
      <c r="C26" s="9" t="str">
        <f>_xlfn.XLOOKUP($B26,Data!$A$8:$A$200,Data!B$8:B$200,"",2)</f>
        <v>GN1102</v>
      </c>
      <c r="D26" t="str">
        <f>_xlfn.XLOOKUP($B26,Data!$A$8:$A$200,Data!C$8:C$200,"",2)</f>
        <v>Life Skills 2</v>
      </c>
      <c r="E26" t="str">
        <f>_xlfn.XLOOKUP($B26,Data!$A$8:$A$200,Data!D$8:D$200,"",2)</f>
        <v xml:space="preserve">Science </v>
      </c>
      <c r="F26">
        <f>IF(_xlfn.XLOOKUP($B26,Data!$A$8:$A$200,Data!H$8:H$200,"",2) = 0, "-", _xlfn.XLOOKUP($B26,Data!$A$8:$A$200,Data!H$8:H$200,"",2))</f>
        <v>2</v>
      </c>
      <c r="G26" s="9">
        <f>_xlfn.XLOOKUP($B26,Data!$A$8:$A$200,Data!E$8:E$200,"",2)</f>
        <v>0</v>
      </c>
      <c r="H26" s="9" t="str">
        <f>_xlfn.XLOOKUP($B26,Data!$A$8:$A$200,Data!F$8:F$200,"",2)</f>
        <v>P</v>
      </c>
      <c r="I26" s="9" t="str">
        <f>_xlfn.XLOOKUP($B26,Data!$A$8:$A$200,Data!G$8:G$200,"",2)</f>
        <v>VG</v>
      </c>
    </row>
    <row r="27" spans="2:14" x14ac:dyDescent="0.3">
      <c r="B27" cm="1">
        <f t="array" ref="B27">IFERROR(INDEX(Data!$A$8:$A$200, SMALL(IF(ISNUMBER(Data!$A$8:$A$200), ROW(Data!$A$8:$A$200)-MIN(ROW(Data!$A$8:$G$200))+1, ""), ROW(12:12))), "")</f>
        <v>12</v>
      </c>
      <c r="C27" s="9" t="str">
        <f>_xlfn.XLOOKUP($B27,Data!$A$8:$A$200,Data!B$8:B$200,"",2)</f>
        <v>MA1102</v>
      </c>
      <c r="D27" t="str">
        <f>_xlfn.XLOOKUP($B27,Data!$A$8:$A$200,Data!C$8:C$200,"",2)</f>
        <v>Series and Matrices</v>
      </c>
      <c r="E27" t="str">
        <f>_xlfn.XLOOKUP($B27,Data!$A$8:$A$200,Data!D$8:D$200,"",2)</f>
        <v xml:space="preserve">Science </v>
      </c>
      <c r="F27">
        <f>IF(_xlfn.XLOOKUP($B27,Data!$A$8:$A$200,Data!H$8:H$200,"",2) = 0, "-", _xlfn.XLOOKUP($B27,Data!$A$8:$A$200,Data!H$8:H$200,"",2))</f>
        <v>2</v>
      </c>
      <c r="G27" s="9">
        <f>_xlfn.XLOOKUP($B27,Data!$A$8:$A$200,Data!E$8:E$200,"",2)</f>
        <v>10</v>
      </c>
      <c r="H27" s="9" t="str">
        <f>_xlfn.XLOOKUP($B27,Data!$A$8:$A$200,Data!F$8:F$200,"",2)</f>
        <v>C</v>
      </c>
      <c r="I27" s="9" t="str">
        <f>_xlfn.XLOOKUP($B27,Data!$A$8:$A$200,Data!G$8:G$200,"",2)</f>
        <v>VG</v>
      </c>
    </row>
    <row r="28" spans="2:14" x14ac:dyDescent="0.3">
      <c r="B28" cm="1">
        <f t="array" ref="B28">IFERROR(INDEX(Data!$A$8:$A$200, SMALL(IF(ISNUMBER(Data!$A$8:$A$200), ROW(Data!$A$8:$A$200)-MIN(ROW(Data!$A$8:$G$200))+1, ""), ROW(13:13))), "")</f>
        <v>13</v>
      </c>
      <c r="C28" s="9" t="str">
        <f>_xlfn.XLOOKUP($B28,Data!$A$8:$A$200,Data!B$8:B$200,"",2)</f>
        <v xml:space="preserve">NS1020 </v>
      </c>
      <c r="D28" t="str">
        <f>_xlfn.XLOOKUP($B28,Data!$A$8:$A$200,Data!C$8:C$200,"",2)</f>
        <v>NSO</v>
      </c>
      <c r="E28" t="str">
        <f>_xlfn.XLOOKUP($B28,Data!$A$8:$A$200,Data!D$8:D$200,"",2)</f>
        <v xml:space="preserve">Science </v>
      </c>
      <c r="F28">
        <f>IF(_xlfn.XLOOKUP($B28,Data!$A$8:$A$200,Data!H$8:H$200,"",2) = 0, "-", _xlfn.XLOOKUP($B28,Data!$A$8:$A$200,Data!H$8:H$200,"",2))</f>
        <v>2</v>
      </c>
      <c r="G28" s="9">
        <f>_xlfn.XLOOKUP($B28,Data!$A$8:$A$200,Data!E$8:E$200,"",2)</f>
        <v>0</v>
      </c>
      <c r="H28" s="9" t="str">
        <f>_xlfn.XLOOKUP($B28,Data!$A$8:$A$200,Data!F$8:F$200,"",2)</f>
        <v>P</v>
      </c>
      <c r="I28" s="9" t="str">
        <f>_xlfn.XLOOKUP($B28,Data!$A$8:$A$200,Data!G$8:G$200,"",2)</f>
        <v xml:space="preserve">G </v>
      </c>
    </row>
    <row r="29" spans="2:14" x14ac:dyDescent="0.3">
      <c r="B29" cm="1">
        <f t="array" ref="B29">IFERROR(INDEX(Data!$A$8:$A$200, SMALL(IF(ISNUMBER(Data!$A$8:$A$200), ROW(Data!$A$8:$A$200)-MIN(ROW(Data!$A$8:$G$200))+1, ""), ROW(14:14))), "")</f>
        <v>14</v>
      </c>
      <c r="C29" s="9" t="str">
        <f>_xlfn.XLOOKUP($B29,Data!$A$8:$A$200,Data!B$8:B$200,"",2)</f>
        <v>PH1020</v>
      </c>
      <c r="D29" t="str">
        <f>_xlfn.XLOOKUP($B29,Data!$A$8:$A$200,Data!C$8:C$200,"",2)</f>
        <v>Physics II</v>
      </c>
      <c r="E29" t="str">
        <f>_xlfn.XLOOKUP($B29,Data!$A$8:$A$200,Data!D$8:D$200,"",2)</f>
        <v xml:space="preserve">Science </v>
      </c>
      <c r="F29">
        <f>IF(_xlfn.XLOOKUP($B29,Data!$A$8:$A$200,Data!H$8:H$200,"",2) = 0, "-", _xlfn.XLOOKUP($B29,Data!$A$8:$A$200,Data!H$8:H$200,"",2))</f>
        <v>2</v>
      </c>
      <c r="G29" s="9">
        <f>_xlfn.XLOOKUP($B29,Data!$A$8:$A$200,Data!E$8:E$200,"",2)</f>
        <v>10</v>
      </c>
      <c r="H29" s="9" t="str">
        <f>_xlfn.XLOOKUP($B29,Data!$A$8:$A$200,Data!F$8:F$200,"",2)</f>
        <v>C</v>
      </c>
      <c r="I29" s="9" t="str">
        <f>_xlfn.XLOOKUP($B29,Data!$A$8:$A$200,Data!G$8:G$200,"",2)</f>
        <v xml:space="preserve">G </v>
      </c>
    </row>
    <row r="30" spans="2:14" x14ac:dyDescent="0.3">
      <c r="B30" cm="1">
        <f t="array" ref="B30">IFERROR(INDEX(Data!$A$8:$A$200, SMALL(IF(ISNUMBER(Data!$A$8:$A$200), ROW(Data!$A$8:$A$200)-MIN(ROW(Data!$A$8:$G$200))+1, ""), ROW(15:15))), "")</f>
        <v>15</v>
      </c>
      <c r="C30" s="9" t="str">
        <f>_xlfn.XLOOKUP($B30,Data!$A$8:$A$200,Data!B$8:B$200,"",2)</f>
        <v xml:space="preserve">PH1030 </v>
      </c>
      <c r="D30" t="str">
        <f>_xlfn.XLOOKUP($B30,Data!$A$8:$A$200,Data!C$8:C$200,"",2)</f>
        <v>Physics Laboratory I</v>
      </c>
      <c r="E30" t="str">
        <f>_xlfn.XLOOKUP($B30,Data!$A$8:$A$200,Data!D$8:D$200,"",2)</f>
        <v xml:space="preserve">Science </v>
      </c>
      <c r="F30">
        <f>IF(_xlfn.XLOOKUP($B30,Data!$A$8:$A$200,Data!H$8:H$200,"",2) = 0, "-", _xlfn.XLOOKUP($B30,Data!$A$8:$A$200,Data!H$8:H$200,"",2))</f>
        <v>2</v>
      </c>
      <c r="G30" s="9">
        <f>_xlfn.XLOOKUP($B30,Data!$A$8:$A$200,Data!E$8:E$200,"",2)</f>
        <v>4</v>
      </c>
      <c r="H30" s="9" t="str">
        <f>_xlfn.XLOOKUP($B30,Data!$A$8:$A$200,Data!F$8:F$200,"",2)</f>
        <v>A</v>
      </c>
      <c r="I30" s="9" t="str">
        <f>_xlfn.XLOOKUP($B30,Data!$A$8:$A$200,Data!G$8:G$200,"",2)</f>
        <v>VG</v>
      </c>
    </row>
    <row r="31" spans="2:14" x14ac:dyDescent="0.3">
      <c r="B31" cm="1">
        <f t="array" ref="B31">IFERROR(INDEX(Data!$A$8:$A$200, SMALL(IF(ISNUMBER(Data!$A$8:$A$200), ROW(Data!$A$8:$A$200)-MIN(ROW(Data!$A$8:$G$200))+1, ""), ROW(16:16))), "")</f>
        <v>16</v>
      </c>
      <c r="C31" s="9" t="str">
        <f>_xlfn.XLOOKUP($B31,Data!$A$8:$A$200,Data!B$8:B$200,"",2)</f>
        <v>CY1002</v>
      </c>
      <c r="D31" t="str">
        <f>_xlfn.XLOOKUP($B31,Data!$A$8:$A$200,Data!C$8:C$200,"",2)</f>
        <v xml:space="preserve">Chemistry Lab I </v>
      </c>
      <c r="E31" t="str">
        <f>_xlfn.XLOOKUP($B31,Data!$A$8:$A$200,Data!D$8:D$200,"",2)</f>
        <v xml:space="preserve">Science </v>
      </c>
      <c r="F31" t="str">
        <f>IF(_xlfn.XLOOKUP($B31,Data!$A$8:$A$200,Data!H$8:H$200,"",2) = 0, "-", _xlfn.XLOOKUP($B31,Data!$A$8:$A$200,Data!H$8:H$200,"",2))</f>
        <v>-</v>
      </c>
      <c r="G31" s="9">
        <f>_xlfn.XLOOKUP($B31,Data!$A$8:$A$200,Data!E$8:E$200,"",2)</f>
        <v>3</v>
      </c>
      <c r="H31" s="9" t="str">
        <f>_xlfn.XLOOKUP($B31,Data!$A$8:$A$200,Data!F$8:F$200,"",2)</f>
        <v>A</v>
      </c>
      <c r="I31" s="9" t="str">
        <f>_xlfn.XLOOKUP($B31,Data!$A$8:$A$200,Data!G$8:G$200,"",2)</f>
        <v>VG</v>
      </c>
    </row>
    <row r="32" spans="2:14" x14ac:dyDescent="0.3">
      <c r="B32" cm="1">
        <f t="array" ref="B32">IFERROR(INDEX(Data!$A$8:$A$200, SMALL(IF(ISNUMBER(Data!$A$8:$A$200), ROW(Data!$A$8:$A$200)-MIN(ROW(Data!$A$8:$G$200))+1, ""), ROW(17:17))), "")</f>
        <v>17</v>
      </c>
      <c r="C32" s="9" t="str">
        <f>_xlfn.XLOOKUP($B32,Data!$A$8:$A$200,Data!B$8:B$200,"",2)</f>
        <v>CE2040</v>
      </c>
      <c r="D32" t="str">
        <f>_xlfn.XLOOKUP($B32,Data!$A$8:$A$200,Data!C$8:C$200,"",2)</f>
        <v>Hydraulic Engineering</v>
      </c>
      <c r="E32" t="str">
        <f>_xlfn.XLOOKUP($B32,Data!$A$8:$A$200,Data!D$8:D$200,"",2)</f>
        <v xml:space="preserve">Professional </v>
      </c>
      <c r="F32">
        <f>IF(_xlfn.XLOOKUP($B32,Data!$A$8:$A$200,Data!H$8:H$200,"",2) = 0, "-", _xlfn.XLOOKUP($B32,Data!$A$8:$A$200,Data!H$8:H$200,"",2))</f>
        <v>3</v>
      </c>
      <c r="G32" s="9">
        <f>_xlfn.XLOOKUP($B32,Data!$A$8:$A$200,Data!E$8:E$200,"",2)</f>
        <v>11</v>
      </c>
      <c r="H32" s="9" t="str">
        <f>_xlfn.XLOOKUP($B32,Data!$A$8:$A$200,Data!F$8:F$200,"",2)</f>
        <v>C</v>
      </c>
      <c r="I32" s="9" t="str">
        <f>_xlfn.XLOOKUP($B32,Data!$A$8:$A$200,Data!G$8:G$200,"",2)</f>
        <v>VG</v>
      </c>
    </row>
    <row r="33" spans="2:9" x14ac:dyDescent="0.3">
      <c r="B33" cm="1">
        <f t="array" ref="B33">IFERROR(INDEX(Data!$A$8:$A$200, SMALL(IF(ISNUMBER(Data!$A$8:$A$200), ROW(Data!$A$8:$A$200)-MIN(ROW(Data!$A$8:$G$200))+1, ""), ROW(18:18))), "")</f>
        <v>18</v>
      </c>
      <c r="C33" s="9" t="str">
        <f>_xlfn.XLOOKUP($B33,Data!$A$8:$A$200,Data!B$8:B$200,"",2)</f>
        <v>CE2080</v>
      </c>
      <c r="D33" t="str">
        <f>_xlfn.XLOOKUP($B33,Data!$A$8:$A$200,Data!C$8:C$200,"",2)</f>
        <v>Surveying</v>
      </c>
      <c r="E33" t="str">
        <f>_xlfn.XLOOKUP($B33,Data!$A$8:$A$200,Data!D$8:D$200,"",2)</f>
        <v xml:space="preserve">Professional </v>
      </c>
      <c r="F33">
        <f>IF(_xlfn.XLOOKUP($B33,Data!$A$8:$A$200,Data!H$8:H$200,"",2) = 0, "-", _xlfn.XLOOKUP($B33,Data!$A$8:$A$200,Data!H$8:H$200,"",2))</f>
        <v>3</v>
      </c>
      <c r="G33" s="9">
        <f>_xlfn.XLOOKUP($B33,Data!$A$8:$A$200,Data!E$8:E$200,"",2)</f>
        <v>10</v>
      </c>
      <c r="H33" s="9" t="str">
        <f>_xlfn.XLOOKUP($B33,Data!$A$8:$A$200,Data!F$8:F$200,"",2)</f>
        <v>A</v>
      </c>
      <c r="I33" s="9" t="str">
        <f>_xlfn.XLOOKUP($B33,Data!$A$8:$A$200,Data!G$8:G$200,"",2)</f>
        <v>VG</v>
      </c>
    </row>
    <row r="34" spans="2:9" x14ac:dyDescent="0.3">
      <c r="B34" cm="1">
        <f t="array" ref="B34">IFERROR(INDEX(Data!$A$8:$A$200, SMALL(IF(ISNUMBER(Data!$A$8:$A$200), ROW(Data!$A$8:$A$200)-MIN(ROW(Data!$A$8:$G$200))+1, ""), ROW(19:19))), "")</f>
        <v>19</v>
      </c>
      <c r="C34" s="9" t="str">
        <f>_xlfn.XLOOKUP($B34,Data!$A$8:$A$200,Data!B$8:B$200,"",2)</f>
        <v>CE2310</v>
      </c>
      <c r="D34" t="str">
        <f>_xlfn.XLOOKUP($B34,Data!$A$8:$A$200,Data!C$8:C$200,"",2)</f>
        <v>Mechanics of materials</v>
      </c>
      <c r="E34" t="str">
        <f>_xlfn.XLOOKUP($B34,Data!$A$8:$A$200,Data!D$8:D$200,"",2)</f>
        <v xml:space="preserve">Engineering </v>
      </c>
      <c r="F34">
        <f>IF(_xlfn.XLOOKUP($B34,Data!$A$8:$A$200,Data!H$8:H$200,"",2) = 0, "-", _xlfn.XLOOKUP($B34,Data!$A$8:$A$200,Data!H$8:H$200,"",2))</f>
        <v>3</v>
      </c>
      <c r="G34" s="9">
        <f>_xlfn.XLOOKUP($B34,Data!$A$8:$A$200,Data!E$8:E$200,"",2)</f>
        <v>11</v>
      </c>
      <c r="H34" s="9" t="str">
        <f>_xlfn.XLOOKUP($B34,Data!$A$8:$A$200,Data!F$8:F$200,"",2)</f>
        <v>S</v>
      </c>
      <c r="I34" s="9" t="str">
        <f>_xlfn.XLOOKUP($B34,Data!$A$8:$A$200,Data!G$8:G$200,"",2)</f>
        <v xml:space="preserve">G </v>
      </c>
    </row>
    <row r="35" spans="2:9" x14ac:dyDescent="0.3">
      <c r="B35" cm="1">
        <f t="array" ref="B35">IFERROR(INDEX(Data!$A$8:$A$200, SMALL(IF(ISNUMBER(Data!$A$8:$A$200), ROW(Data!$A$8:$A$200)-MIN(ROW(Data!$A$8:$G$200))+1, ""), ROW(20:20))), "")</f>
        <v>20</v>
      </c>
      <c r="C35" s="9" t="str">
        <f>_xlfn.XLOOKUP($B35,Data!$A$8:$A$200,Data!B$8:B$200,"",2)</f>
        <v>CE3015</v>
      </c>
      <c r="D35" t="str">
        <f>_xlfn.XLOOKUP($B35,Data!$A$8:$A$200,Data!C$8:C$200,"",2)</f>
        <v xml:space="preserve">Highway Engineering </v>
      </c>
      <c r="E35" t="str">
        <f>_xlfn.XLOOKUP($B35,Data!$A$8:$A$200,Data!D$8:D$200,"",2)</f>
        <v xml:space="preserve">Professional </v>
      </c>
      <c r="F35">
        <f>IF(_xlfn.XLOOKUP($B35,Data!$A$8:$A$200,Data!H$8:H$200,"",2) = 0, "-", _xlfn.XLOOKUP($B35,Data!$A$8:$A$200,Data!H$8:H$200,"",2))</f>
        <v>3</v>
      </c>
      <c r="G35" s="9">
        <f>_xlfn.XLOOKUP($B35,Data!$A$8:$A$200,Data!E$8:E$200,"",2)</f>
        <v>9</v>
      </c>
      <c r="H35" s="9" t="str">
        <f>_xlfn.XLOOKUP($B35,Data!$A$8:$A$200,Data!F$8:F$200,"",2)</f>
        <v>D</v>
      </c>
      <c r="I35" s="9" t="str">
        <f>_xlfn.XLOOKUP($B35,Data!$A$8:$A$200,Data!G$8:G$200,"",2)</f>
        <v xml:space="preserve">G </v>
      </c>
    </row>
    <row r="36" spans="2:9" x14ac:dyDescent="0.3">
      <c r="B36" cm="1">
        <f t="array" ref="B36">IFERROR(INDEX(Data!$A$8:$A$200, SMALL(IF(ISNUMBER(Data!$A$8:$A$200), ROW(Data!$A$8:$A$200)-MIN(ROW(Data!$A$8:$G$200))+1, ""), ROW(21:21))), "")</f>
        <v>21</v>
      </c>
      <c r="C36" s="9" t="str">
        <f>_xlfn.XLOOKUP($B36,Data!$A$8:$A$200,Data!B$8:B$200,"",2)</f>
        <v>MA2020</v>
      </c>
      <c r="D36" t="str">
        <f>_xlfn.XLOOKUP($B36,Data!$A$8:$A$200,Data!C$8:C$200,"",2)</f>
        <v>Differential Equations</v>
      </c>
      <c r="E36" t="str">
        <f>_xlfn.XLOOKUP($B36,Data!$A$8:$A$200,Data!D$8:D$200,"",2)</f>
        <v xml:space="preserve">Science </v>
      </c>
      <c r="F36">
        <f>IF(_xlfn.XLOOKUP($B36,Data!$A$8:$A$200,Data!H$8:H$200,"",2) = 0, "-", _xlfn.XLOOKUP($B36,Data!$A$8:$A$200,Data!H$8:H$200,"",2))</f>
        <v>3</v>
      </c>
      <c r="G36" s="9">
        <f>_xlfn.XLOOKUP($B36,Data!$A$8:$A$200,Data!E$8:E$200,"",2)</f>
        <v>9</v>
      </c>
      <c r="H36" s="9" t="str">
        <f>_xlfn.XLOOKUP($B36,Data!$A$8:$A$200,Data!F$8:F$200,"",2)</f>
        <v>B</v>
      </c>
      <c r="I36" s="9" t="str">
        <f>_xlfn.XLOOKUP($B36,Data!$A$8:$A$200,Data!G$8:G$200,"",2)</f>
        <v>VG</v>
      </c>
    </row>
    <row r="37" spans="2:9" x14ac:dyDescent="0.3">
      <c r="B37" cm="1">
        <f t="array" ref="B37">IFERROR(INDEX(Data!$A$8:$A$200, SMALL(IF(ISNUMBER(Data!$A$8:$A$200), ROW(Data!$A$8:$A$200)-MIN(ROW(Data!$A$8:$G$200))+1, ""), ROW(22:22))), "")</f>
        <v>22</v>
      </c>
      <c r="C37" s="9" t="str">
        <f>_xlfn.XLOOKUP($B37,Data!$A$8:$A$200,Data!B$8:B$200,"",2)</f>
        <v>CE2020</v>
      </c>
      <c r="D37" t="str">
        <f>_xlfn.XLOOKUP($B37,Data!$A$8:$A$200,Data!C$8:C$200,"",2)</f>
        <v>Structural Analysis</v>
      </c>
      <c r="E37" t="str">
        <f>_xlfn.XLOOKUP($B37,Data!$A$8:$A$200,Data!D$8:D$200,"",2)</f>
        <v xml:space="preserve">Professional </v>
      </c>
      <c r="F37">
        <f>IF(_xlfn.XLOOKUP($B37,Data!$A$8:$A$200,Data!H$8:H$200,"",2) = 0, "-", _xlfn.XLOOKUP($B37,Data!$A$8:$A$200,Data!H$8:H$200,"",2))</f>
        <v>4</v>
      </c>
      <c r="G37" s="9">
        <f>_xlfn.XLOOKUP($B37,Data!$A$8:$A$200,Data!E$8:E$200,"",2)</f>
        <v>11</v>
      </c>
      <c r="H37" s="9" t="str">
        <f>_xlfn.XLOOKUP($B37,Data!$A$8:$A$200,Data!F$8:F$200,"",2)</f>
        <v>A</v>
      </c>
      <c r="I37" s="9" t="str">
        <f>_xlfn.XLOOKUP($B37,Data!$A$8:$A$200,Data!G$8:G$200,"",2)</f>
        <v xml:space="preserve">G </v>
      </c>
    </row>
    <row r="38" spans="2:9" x14ac:dyDescent="0.3">
      <c r="B38" cm="1">
        <f t="array" ref="B38">IFERROR(INDEX(Data!$A$8:$A$200, SMALL(IF(ISNUMBER(Data!$A$8:$A$200), ROW(Data!$A$8:$A$200)-MIN(ROW(Data!$A$8:$G$200))+1, ""), ROW(23:23))), "")</f>
        <v>23</v>
      </c>
      <c r="C38" s="9" t="str">
        <f>_xlfn.XLOOKUP($B38,Data!$A$8:$A$200,Data!B$8:B$200,"",2)</f>
        <v>CE2060</v>
      </c>
      <c r="D38" t="str">
        <f>_xlfn.XLOOKUP($B38,Data!$A$8:$A$200,Data!C$8:C$200,"",2)</f>
        <v>Geotechnical Engineering I</v>
      </c>
      <c r="E38" t="str">
        <f>_xlfn.XLOOKUP($B38,Data!$A$8:$A$200,Data!D$8:D$200,"",2)</f>
        <v xml:space="preserve">Professional </v>
      </c>
      <c r="F38">
        <f>IF(_xlfn.XLOOKUP($B38,Data!$A$8:$A$200,Data!H$8:H$200,"",2) = 0, "-", _xlfn.XLOOKUP($B38,Data!$A$8:$A$200,Data!H$8:H$200,"",2))</f>
        <v>4</v>
      </c>
      <c r="G38" s="9">
        <f>_xlfn.XLOOKUP($B38,Data!$A$8:$A$200,Data!E$8:E$200,"",2)</f>
        <v>11</v>
      </c>
      <c r="H38" s="9" t="str">
        <f>_xlfn.XLOOKUP($B38,Data!$A$8:$A$200,Data!F$8:F$200,"",2)</f>
        <v>B</v>
      </c>
      <c r="I38" s="9" t="str">
        <f>_xlfn.XLOOKUP($B38,Data!$A$8:$A$200,Data!G$8:G$200,"",2)</f>
        <v>VG</v>
      </c>
    </row>
    <row r="39" spans="2:9" x14ac:dyDescent="0.3">
      <c r="B39" cm="1">
        <f t="array" ref="B39">IFERROR(INDEX(Data!$A$8:$A$200, SMALL(IF(ISNUMBER(Data!$A$8:$A$200), ROW(Data!$A$8:$A$200)-MIN(ROW(Data!$A$8:$G$200))+1, ""), ROW(24:24))), "")</f>
        <v>24</v>
      </c>
      <c r="C39" s="9" t="str">
        <f>_xlfn.XLOOKUP($B39,Data!$A$8:$A$200,Data!B$8:B$200,"",2)</f>
        <v>CE3025</v>
      </c>
      <c r="D39" t="str">
        <f>_xlfn.XLOOKUP($B39,Data!$A$8:$A$200,Data!C$8:C$200,"",2)</f>
        <v>Traffic Engineering</v>
      </c>
      <c r="E39" t="str">
        <f>_xlfn.XLOOKUP($B39,Data!$A$8:$A$200,Data!D$8:D$200,"",2)</f>
        <v xml:space="preserve">Professional </v>
      </c>
      <c r="F39">
        <f>IF(_xlfn.XLOOKUP($B39,Data!$A$8:$A$200,Data!H$8:H$200,"",2) = 0, "-", _xlfn.XLOOKUP($B39,Data!$A$8:$A$200,Data!H$8:H$200,"",2))</f>
        <v>4</v>
      </c>
      <c r="G39" s="9">
        <f>_xlfn.XLOOKUP($B39,Data!$A$8:$A$200,Data!E$8:E$200,"",2)</f>
        <v>9</v>
      </c>
      <c r="H39" s="9" t="str">
        <f>_xlfn.XLOOKUP($B39,Data!$A$8:$A$200,Data!F$8:F$200,"",2)</f>
        <v>A</v>
      </c>
      <c r="I39" s="9" t="str">
        <f>_xlfn.XLOOKUP($B39,Data!$A$8:$A$200,Data!G$8:G$200,"",2)</f>
        <v xml:space="preserve">G </v>
      </c>
    </row>
    <row r="40" spans="2:9" x14ac:dyDescent="0.3">
      <c r="B40" cm="1">
        <f t="array" ref="B40">IFERROR(INDEX(Data!$A$8:$A$200, SMALL(IF(ISNUMBER(Data!$A$8:$A$200), ROW(Data!$A$8:$A$200)-MIN(ROW(Data!$A$8:$G$200))+1, ""), ROW(25:25))), "")</f>
        <v>25</v>
      </c>
      <c r="C40" s="9" t="str">
        <f>_xlfn.XLOOKUP($B40,Data!$A$8:$A$200,Data!B$8:B$200,"",2)</f>
        <v>CE3040</v>
      </c>
      <c r="D40" t="str">
        <f>_xlfn.XLOOKUP($B40,Data!$A$8:$A$200,Data!C$8:C$200,"",2)</f>
        <v>Environmental Engineering</v>
      </c>
      <c r="E40" t="str">
        <f>_xlfn.XLOOKUP($B40,Data!$A$8:$A$200,Data!D$8:D$200,"",2)</f>
        <v xml:space="preserve">Professional </v>
      </c>
      <c r="F40">
        <f>IF(_xlfn.XLOOKUP($B40,Data!$A$8:$A$200,Data!H$8:H$200,"",2) = 0, "-", _xlfn.XLOOKUP($B40,Data!$A$8:$A$200,Data!H$8:H$200,"",2))</f>
        <v>4</v>
      </c>
      <c r="G40" s="9">
        <f>_xlfn.XLOOKUP($B40,Data!$A$8:$A$200,Data!E$8:E$200,"",2)</f>
        <v>10</v>
      </c>
      <c r="H40" s="9" t="str">
        <f>_xlfn.XLOOKUP($B40,Data!$A$8:$A$200,Data!F$8:F$200,"",2)</f>
        <v>B</v>
      </c>
      <c r="I40" s="9" t="str">
        <f>_xlfn.XLOOKUP($B40,Data!$A$8:$A$200,Data!G$8:G$200,"",2)</f>
        <v xml:space="preserve">M </v>
      </c>
    </row>
    <row r="41" spans="2:9" x14ac:dyDescent="0.3">
      <c r="B41" cm="1">
        <f t="array" ref="B41">IFERROR(INDEX(Data!$A$8:$A$200, SMALL(IF(ISNUMBER(Data!$A$8:$A$200), ROW(Data!$A$8:$A$200)-MIN(ROW(Data!$A$8:$G$200))+1, ""), ROW(26:26))), "")</f>
        <v>26</v>
      </c>
      <c r="C41" s="9" t="str">
        <f>_xlfn.XLOOKUP($B41,Data!$A$8:$A$200,Data!B$8:B$200,"",2)</f>
        <v>HS1080</v>
      </c>
      <c r="D41" t="str">
        <f>_xlfn.XLOOKUP($B41,Data!$A$8:$A$200,Data!C$8:C$200,"",2)</f>
        <v>Korean I</v>
      </c>
      <c r="E41" t="str">
        <f>_xlfn.XLOOKUP($B41,Data!$A$8:$A$200,Data!D$8:D$200,"",2)</f>
        <v xml:space="preserve">Humanities </v>
      </c>
      <c r="F41">
        <f>IF(_xlfn.XLOOKUP($B41,Data!$A$8:$A$200,Data!H$8:H$200,"",2) = 0, "-", _xlfn.XLOOKUP($B41,Data!$A$8:$A$200,Data!H$8:H$200,"",2))</f>
        <v>4</v>
      </c>
      <c r="G41" s="9">
        <f>_xlfn.XLOOKUP($B41,Data!$A$8:$A$200,Data!E$8:E$200,"",2)</f>
        <v>9</v>
      </c>
      <c r="H41" s="9" t="str">
        <f>_xlfn.XLOOKUP($B41,Data!$A$8:$A$200,Data!F$8:F$200,"",2)</f>
        <v>B</v>
      </c>
      <c r="I41" s="9" t="str">
        <f>_xlfn.XLOOKUP($B41,Data!$A$8:$A$200,Data!G$8:G$200,"",2)</f>
        <v>VG</v>
      </c>
    </row>
    <row r="42" spans="2:9" x14ac:dyDescent="0.3">
      <c r="B42" cm="1">
        <f t="array" ref="B42">IFERROR(INDEX(Data!$A$8:$A$200, SMALL(IF(ISNUMBER(Data!$A$8:$A$200), ROW(Data!$A$8:$A$200)-MIN(ROW(Data!$A$8:$G$200))+1, ""), ROW(27:27))), "")</f>
        <v>27</v>
      </c>
      <c r="C42" s="9" t="str">
        <f>_xlfn.XLOOKUP($B42,Data!$A$8:$A$200,Data!B$8:B$200,"",2)</f>
        <v>MA2040</v>
      </c>
      <c r="D42" t="str">
        <f>_xlfn.XLOOKUP($B42,Data!$A$8:$A$200,Data!C$8:C$200,"",2)</f>
        <v>Probability, Statistics and Stochastic Process</v>
      </c>
      <c r="E42" t="str">
        <f>_xlfn.XLOOKUP($B42,Data!$A$8:$A$200,Data!D$8:D$200,"",2)</f>
        <v xml:space="preserve">Science </v>
      </c>
      <c r="F42">
        <f>IF(_xlfn.XLOOKUP($B42,Data!$A$8:$A$200,Data!H$8:H$200,"",2) = 0, "-", _xlfn.XLOOKUP($B42,Data!$A$8:$A$200,Data!H$8:H$200,"",2))</f>
        <v>4</v>
      </c>
      <c r="G42" s="9">
        <f>_xlfn.XLOOKUP($B42,Data!$A$8:$A$200,Data!E$8:E$200,"",2)</f>
        <v>9</v>
      </c>
      <c r="H42" s="9" t="str">
        <f>_xlfn.XLOOKUP($B42,Data!$A$8:$A$200,Data!F$8:F$200,"",2)</f>
        <v>B</v>
      </c>
      <c r="I42" s="9" t="str">
        <f>_xlfn.XLOOKUP($B42,Data!$A$8:$A$200,Data!G$8:G$200,"",2)</f>
        <v xml:space="preserve">G </v>
      </c>
    </row>
    <row r="43" spans="2:9" x14ac:dyDescent="0.3">
      <c r="B43" cm="1">
        <f t="array" ref="B43">IFERROR(INDEX(Data!$A$8:$A$200, SMALL(IF(ISNUMBER(Data!$A$8:$A$200), ROW(Data!$A$8:$A$200)-MIN(ROW(Data!$A$8:$G$200))+1, ""), ROW(28:28))), "")</f>
        <v>28</v>
      </c>
      <c r="C43" s="9" t="str">
        <f>_xlfn.XLOOKUP($B43,Data!$A$8:$A$200,Data!B$8:B$200,"",2)</f>
        <v>BT1010</v>
      </c>
      <c r="D43" t="str">
        <f>_xlfn.XLOOKUP($B43,Data!$A$8:$A$200,Data!C$8:C$200,"",2)</f>
        <v>Life Sciences</v>
      </c>
      <c r="E43" t="str">
        <f>_xlfn.XLOOKUP($B43,Data!$A$8:$A$200,Data!D$8:D$200,"",2)</f>
        <v xml:space="preserve">Science </v>
      </c>
      <c r="F43">
        <f>IF(_xlfn.XLOOKUP($B43,Data!$A$8:$A$200,Data!H$8:H$200,"",2) = 0, "-", _xlfn.XLOOKUP($B43,Data!$A$8:$A$200,Data!H$8:H$200,"",2))</f>
        <v>5</v>
      </c>
      <c r="G43" s="9">
        <f>_xlfn.XLOOKUP($B43,Data!$A$8:$A$200,Data!E$8:E$200,"",2)</f>
        <v>9</v>
      </c>
      <c r="H43" s="9" t="str">
        <f>_xlfn.XLOOKUP($B43,Data!$A$8:$A$200,Data!F$8:F$200,"",2)</f>
        <v>A</v>
      </c>
      <c r="I43" s="9" t="str">
        <f>_xlfn.XLOOKUP($B43,Data!$A$8:$A$200,Data!G$8:G$200,"",2)</f>
        <v xml:space="preserve">G </v>
      </c>
    </row>
    <row r="44" spans="2:9" x14ac:dyDescent="0.3">
      <c r="B44" cm="1">
        <f t="array" ref="B44">IFERROR(INDEX(Data!$A$8:$A$200, SMALL(IF(ISNUMBER(Data!$A$8:$A$200), ROW(Data!$A$8:$A$200)-MIN(ROW(Data!$A$8:$G$200))+1, ""), ROW(29:29))), "")</f>
        <v>29</v>
      </c>
      <c r="C44" s="9" t="str">
        <f>_xlfn.XLOOKUP($B44,Data!$A$8:$A$200,Data!B$8:B$200,"",2)</f>
        <v>CE3030</v>
      </c>
      <c r="D44" t="str">
        <f>_xlfn.XLOOKUP($B44,Data!$A$8:$A$200,Data!C$8:C$200,"",2)</f>
        <v>Water Resources Engineering</v>
      </c>
      <c r="E44" t="str">
        <f>_xlfn.XLOOKUP($B44,Data!$A$8:$A$200,Data!D$8:D$200,"",2)</f>
        <v xml:space="preserve">Professional </v>
      </c>
      <c r="F44">
        <f>IF(_xlfn.XLOOKUP($B44,Data!$A$8:$A$200,Data!H$8:H$200,"",2) = 0, "-", _xlfn.XLOOKUP($B44,Data!$A$8:$A$200,Data!H$8:H$200,"",2))</f>
        <v>5</v>
      </c>
      <c r="G44" s="9">
        <f>_xlfn.XLOOKUP($B44,Data!$A$8:$A$200,Data!E$8:E$200,"",2)</f>
        <v>12</v>
      </c>
      <c r="H44" s="9" t="str">
        <f>_xlfn.XLOOKUP($B44,Data!$A$8:$A$200,Data!F$8:F$200,"",2)</f>
        <v>B</v>
      </c>
      <c r="I44" s="9" t="str">
        <f>_xlfn.XLOOKUP($B44,Data!$A$8:$A$200,Data!G$8:G$200,"",2)</f>
        <v xml:space="preserve">M </v>
      </c>
    </row>
    <row r="45" spans="2:9" x14ac:dyDescent="0.3">
      <c r="B45" cm="1">
        <f t="array" ref="B45">IFERROR(INDEX(Data!$A$8:$A$200, SMALL(IF(ISNUMBER(Data!$A$8:$A$200), ROW(Data!$A$8:$A$200)-MIN(ROW(Data!$A$8:$G$200))+1, ""), ROW(30:30))), "")</f>
        <v>30</v>
      </c>
      <c r="C45" s="9" t="str">
        <f>_xlfn.XLOOKUP($B45,Data!$A$8:$A$200,Data!B$8:B$200,"",2)</f>
        <v>CE3060</v>
      </c>
      <c r="D45" t="str">
        <f>_xlfn.XLOOKUP($B45,Data!$A$8:$A$200,Data!C$8:C$200,"",2)</f>
        <v>Basic design of reinforced concrete structures</v>
      </c>
      <c r="E45" t="str">
        <f>_xlfn.XLOOKUP($B45,Data!$A$8:$A$200,Data!D$8:D$200,"",2)</f>
        <v xml:space="preserve">Professional </v>
      </c>
      <c r="F45">
        <f>IF(_xlfn.XLOOKUP($B45,Data!$A$8:$A$200,Data!H$8:H$200,"",2) = 0, "-", _xlfn.XLOOKUP($B45,Data!$A$8:$A$200,Data!H$8:H$200,"",2))</f>
        <v>5</v>
      </c>
      <c r="G45" s="9">
        <f>_xlfn.XLOOKUP($B45,Data!$A$8:$A$200,Data!E$8:E$200,"",2)</f>
        <v>11</v>
      </c>
      <c r="H45" s="9" t="str">
        <f>_xlfn.XLOOKUP($B45,Data!$A$8:$A$200,Data!F$8:F$200,"",2)</f>
        <v>B</v>
      </c>
      <c r="I45" s="9" t="str">
        <f>_xlfn.XLOOKUP($B45,Data!$A$8:$A$200,Data!G$8:G$200,"",2)</f>
        <v>VG</v>
      </c>
    </row>
    <row r="46" spans="2:9" x14ac:dyDescent="0.3">
      <c r="B46" cm="1">
        <f t="array" ref="B46">IFERROR(INDEX(Data!$A$8:$A$200, SMALL(IF(ISNUMBER(Data!$A$8:$A$200), ROW(Data!$A$8:$A$200)-MIN(ROW(Data!$A$8:$G$200))+1, ""), ROW(31:31))), "")</f>
        <v>31</v>
      </c>
      <c r="C46" s="9" t="str">
        <f>_xlfn.XLOOKUP($B46,Data!$A$8:$A$200,Data!B$8:B$200,"",2)</f>
        <v xml:space="preserve">CE3310 </v>
      </c>
      <c r="D46" t="str">
        <f>_xlfn.XLOOKUP($B46,Data!$A$8:$A$200,Data!C$8:C$200,"",2)</f>
        <v>Advanced Structural Analysis</v>
      </c>
      <c r="E46" t="str">
        <f>_xlfn.XLOOKUP($B46,Data!$A$8:$A$200,Data!D$8:D$200,"",2)</f>
        <v xml:space="preserve">Professional </v>
      </c>
      <c r="F46">
        <f>IF(_xlfn.XLOOKUP($B46,Data!$A$8:$A$200,Data!H$8:H$200,"",2) = 0, "-", _xlfn.XLOOKUP($B46,Data!$A$8:$A$200,Data!H$8:H$200,"",2))</f>
        <v>5</v>
      </c>
      <c r="G46" s="9">
        <f>_xlfn.XLOOKUP($B46,Data!$A$8:$A$200,Data!E$8:E$200,"",2)</f>
        <v>9</v>
      </c>
      <c r="H46" s="9" t="str">
        <f>_xlfn.XLOOKUP($B46,Data!$A$8:$A$200,Data!F$8:F$200,"",2)</f>
        <v>A</v>
      </c>
      <c r="I46" s="9" t="str">
        <f>_xlfn.XLOOKUP($B46,Data!$A$8:$A$200,Data!G$8:G$200,"",2)</f>
        <v xml:space="preserve">M </v>
      </c>
    </row>
    <row r="47" spans="2:9" x14ac:dyDescent="0.3">
      <c r="B47" cm="1">
        <f t="array" ref="B47">IFERROR(INDEX(Data!$A$8:$A$200, SMALL(IF(ISNUMBER(Data!$A$8:$A$200), ROW(Data!$A$8:$A$200)-MIN(ROW(Data!$A$8:$G$200))+1, ""), ROW(32:32))), "")</f>
        <v>32</v>
      </c>
      <c r="C47" s="9" t="str">
        <f>_xlfn.XLOOKUP($B47,Data!$A$8:$A$200,Data!B$8:B$200,"",2)</f>
        <v>CE3350</v>
      </c>
      <c r="D47" t="str">
        <f>_xlfn.XLOOKUP($B47,Data!$A$8:$A$200,Data!C$8:C$200,"",2)</f>
        <v>Geotechnical Engineering II</v>
      </c>
      <c r="E47" t="str">
        <f>_xlfn.XLOOKUP($B47,Data!$A$8:$A$200,Data!D$8:D$200,"",2)</f>
        <v xml:space="preserve">Professional </v>
      </c>
      <c r="F47">
        <f>IF(_xlfn.XLOOKUP($B47,Data!$A$8:$A$200,Data!H$8:H$200,"",2) = 0, "-", _xlfn.XLOOKUP($B47,Data!$A$8:$A$200,Data!H$8:H$200,"",2))</f>
        <v>5</v>
      </c>
      <c r="G47" s="9">
        <f>_xlfn.XLOOKUP($B47,Data!$A$8:$A$200,Data!E$8:E$200,"",2)</f>
        <v>11</v>
      </c>
      <c r="H47" s="9" t="str">
        <f>_xlfn.XLOOKUP($B47,Data!$A$8:$A$200,Data!F$8:F$200,"",2)</f>
        <v>A</v>
      </c>
      <c r="I47" s="9" t="str">
        <f>_xlfn.XLOOKUP($B47,Data!$A$8:$A$200,Data!G$8:G$200,"",2)</f>
        <v>VG</v>
      </c>
    </row>
    <row r="48" spans="2:9" x14ac:dyDescent="0.3">
      <c r="B48" cm="1">
        <f t="array" ref="B48">IFERROR(INDEX(Data!$A$8:$A$200, SMALL(IF(ISNUMBER(Data!$A$8:$A$200), ROW(Data!$A$8:$A$200)-MIN(ROW(Data!$A$8:$G$200))+1, ""), ROW(33:33))), "")</f>
        <v>33</v>
      </c>
      <c r="C48" s="9" t="str">
        <f>_xlfn.XLOOKUP($B48,Data!$A$8:$A$200,Data!B$8:B$200,"",2)</f>
        <v>ce3410</v>
      </c>
      <c r="D48" t="str">
        <f>_xlfn.XLOOKUP($B48,Data!$A$8:$A$200,Data!C$8:C$200,"",2)</f>
        <v>Construction Materials Laboratory</v>
      </c>
      <c r="E48" t="str">
        <f>_xlfn.XLOOKUP($B48,Data!$A$8:$A$200,Data!D$8:D$200,"",2)</f>
        <v xml:space="preserve">Professional </v>
      </c>
      <c r="F48">
        <f>IF(_xlfn.XLOOKUP($B48,Data!$A$8:$A$200,Data!H$8:H$200,"",2) = 0, "-", _xlfn.XLOOKUP($B48,Data!$A$8:$A$200,Data!H$8:H$200,"",2))</f>
        <v>5</v>
      </c>
      <c r="G48" s="9">
        <f>_xlfn.XLOOKUP($B48,Data!$A$8:$A$200,Data!E$8:E$200,"",2)</f>
        <v>4</v>
      </c>
      <c r="H48" s="9" t="str">
        <f>_xlfn.XLOOKUP($B48,Data!$A$8:$A$200,Data!F$8:F$200,"",2)</f>
        <v>A</v>
      </c>
      <c r="I48" s="9" t="str">
        <f>_xlfn.XLOOKUP($B48,Data!$A$8:$A$200,Data!G$8:G$200,"",2)</f>
        <v>VG</v>
      </c>
    </row>
    <row r="49" spans="2:9" x14ac:dyDescent="0.3">
      <c r="B49" cm="1">
        <f t="array" ref="B49">IFERROR(INDEX(Data!$A$8:$A$200, SMALL(IF(ISNUMBER(Data!$A$8:$A$200), ROW(Data!$A$8:$A$200)-MIN(ROW(Data!$A$8:$G$200))+1, ""), ROW(34:34))), "")</f>
        <v>34</v>
      </c>
      <c r="C49" s="9" t="str">
        <f>_xlfn.XLOOKUP($B49,Data!$A$8:$A$200,Data!B$8:B$200,"",2)</f>
        <v>CE4030</v>
      </c>
      <c r="D49" t="str">
        <f>_xlfn.XLOOKUP($B49,Data!$A$8:$A$200,Data!C$8:C$200,"",2)</f>
        <v>Hydraulic and Environmental Engineering Lab</v>
      </c>
      <c r="E49" t="str">
        <f>_xlfn.XLOOKUP($B49,Data!$A$8:$A$200,Data!D$8:D$200,"",2)</f>
        <v xml:space="preserve">Professional </v>
      </c>
      <c r="F49">
        <f>IF(_xlfn.XLOOKUP($B49,Data!$A$8:$A$200,Data!H$8:H$200,"",2) = 0, "-", _xlfn.XLOOKUP($B49,Data!$A$8:$A$200,Data!H$8:H$200,"",2))</f>
        <v>5</v>
      </c>
      <c r="G49" s="9">
        <f>_xlfn.XLOOKUP($B49,Data!$A$8:$A$200,Data!E$8:E$200,"",2)</f>
        <v>4</v>
      </c>
      <c r="H49" s="9" t="str">
        <f>_xlfn.XLOOKUP($B49,Data!$A$8:$A$200,Data!F$8:F$200,"",2)</f>
        <v>A</v>
      </c>
      <c r="I49" s="9" t="str">
        <f>_xlfn.XLOOKUP($B49,Data!$A$8:$A$200,Data!G$8:G$200,"",2)</f>
        <v>VG</v>
      </c>
    </row>
    <row r="50" spans="2:9" x14ac:dyDescent="0.3">
      <c r="B50" cm="1">
        <f t="array" ref="B50">IFERROR(INDEX(Data!$A$8:$A$200, SMALL(IF(ISNUMBER(Data!$A$8:$A$200), ROW(Data!$A$8:$A$200)-MIN(ROW(Data!$A$8:$G$200))+1, ""), ROW(35:35))), "")</f>
        <v>35</v>
      </c>
      <c r="C50" s="9" t="str">
        <f>_xlfn.XLOOKUP($B50,Data!$A$8:$A$200,Data!B$8:B$200,"",2)</f>
        <v>CE3050</v>
      </c>
      <c r="D50" t="str">
        <f>_xlfn.XLOOKUP($B50,Data!$A$8:$A$200,Data!C$8:C$200,"",2)</f>
        <v>Basic Design of Steel Structures</v>
      </c>
      <c r="E50" t="str">
        <f>_xlfn.XLOOKUP($B50,Data!$A$8:$A$200,Data!D$8:D$200,"",2)</f>
        <v xml:space="preserve">Professional </v>
      </c>
      <c r="F50">
        <f>IF(_xlfn.XLOOKUP($B50,Data!$A$8:$A$200,Data!H$8:H$200,"",2) = 0, "-", _xlfn.XLOOKUP($B50,Data!$A$8:$A$200,Data!H$8:H$200,"",2))</f>
        <v>6</v>
      </c>
      <c r="G50" s="9">
        <f>_xlfn.XLOOKUP($B50,Data!$A$8:$A$200,Data!E$8:E$200,"",2)</f>
        <v>11</v>
      </c>
      <c r="H50" s="9" t="str">
        <f>_xlfn.XLOOKUP($B50,Data!$A$8:$A$200,Data!F$8:F$200,"",2)</f>
        <v>A</v>
      </c>
      <c r="I50" s="9" t="str">
        <f>_xlfn.XLOOKUP($B50,Data!$A$8:$A$200,Data!G$8:G$200,"",2)</f>
        <v>VG</v>
      </c>
    </row>
    <row r="51" spans="2:9" x14ac:dyDescent="0.3">
      <c r="B51" cm="1">
        <f t="array" ref="B51">IFERROR(INDEX(Data!$A$8:$A$200, SMALL(IF(ISNUMBER(Data!$A$8:$A$200), ROW(Data!$A$8:$A$200)-MIN(ROW(Data!$A$8:$G$200))+1, ""), ROW(36:36))), "")</f>
        <v>36</v>
      </c>
      <c r="C51" s="9" t="str">
        <f>_xlfn.XLOOKUP($B51,Data!$A$8:$A$200,Data!B$8:B$200,"",2)</f>
        <v>CE3100</v>
      </c>
      <c r="D51" t="str">
        <f>_xlfn.XLOOKUP($B51,Data!$A$8:$A$200,Data!C$8:C$200,"",2)</f>
        <v>Structural engineering laboratory</v>
      </c>
      <c r="E51" t="str">
        <f>_xlfn.XLOOKUP($B51,Data!$A$8:$A$200,Data!D$8:D$200,"",2)</f>
        <v xml:space="preserve">Professional </v>
      </c>
      <c r="F51">
        <f>IF(_xlfn.XLOOKUP($B51,Data!$A$8:$A$200,Data!H$8:H$200,"",2) = 0, "-", _xlfn.XLOOKUP($B51,Data!$A$8:$A$200,Data!H$8:H$200,"",2))</f>
        <v>6</v>
      </c>
      <c r="G51" s="9">
        <f>_xlfn.XLOOKUP($B51,Data!$A$8:$A$200,Data!E$8:E$200,"",2)</f>
        <v>4</v>
      </c>
      <c r="H51" s="9" t="str">
        <f>_xlfn.XLOOKUP($B51,Data!$A$8:$A$200,Data!F$8:F$200,"",2)</f>
        <v>A</v>
      </c>
      <c r="I51" s="9" t="str">
        <f>_xlfn.XLOOKUP($B51,Data!$A$8:$A$200,Data!G$8:G$200,"",2)</f>
        <v xml:space="preserve">G </v>
      </c>
    </row>
    <row r="52" spans="2:9" x14ac:dyDescent="0.3">
      <c r="B52" cm="1">
        <f t="array" ref="B52">IFERROR(INDEX(Data!$A$8:$A$200, SMALL(IF(ISNUMBER(Data!$A$8:$A$200), ROW(Data!$A$8:$A$200)-MIN(ROW(Data!$A$8:$G$200))+1, ""), ROW(37:37))), "")</f>
        <v>37</v>
      </c>
      <c r="C52" s="9" t="str">
        <f>_xlfn.XLOOKUP($B52,Data!$A$8:$A$200,Data!B$8:B$200,"",2)</f>
        <v>CE3420</v>
      </c>
      <c r="D52" t="str">
        <f>_xlfn.XLOOKUP($B52,Data!$A$8:$A$200,Data!C$8:C$200,"",2)</f>
        <v>Concrete Technology</v>
      </c>
      <c r="E52" t="str">
        <f>_xlfn.XLOOKUP($B52,Data!$A$8:$A$200,Data!D$8:D$200,"",2)</f>
        <v xml:space="preserve">Professional </v>
      </c>
      <c r="F52">
        <f>IF(_xlfn.XLOOKUP($B52,Data!$A$8:$A$200,Data!H$8:H$200,"",2) = 0, "-", _xlfn.XLOOKUP($B52,Data!$A$8:$A$200,Data!H$8:H$200,"",2))</f>
        <v>6</v>
      </c>
      <c r="G52" s="9">
        <f>_xlfn.XLOOKUP($B52,Data!$A$8:$A$200,Data!E$8:E$200,"",2)</f>
        <v>9</v>
      </c>
      <c r="H52" s="9" t="str">
        <f>_xlfn.XLOOKUP($B52,Data!$A$8:$A$200,Data!F$8:F$200,"",2)</f>
        <v>A</v>
      </c>
      <c r="I52" s="9" t="str">
        <f>_xlfn.XLOOKUP($B52,Data!$A$8:$A$200,Data!G$8:G$200,"",2)</f>
        <v>VG</v>
      </c>
    </row>
    <row r="53" spans="2:9" x14ac:dyDescent="0.3">
      <c r="B53" cm="1">
        <f t="array" ref="B53">IFERROR(INDEX(Data!$A$8:$A$200, SMALL(IF(ISNUMBER(Data!$A$8:$A$200), ROW(Data!$A$8:$A$200)-MIN(ROW(Data!$A$8:$G$200))+1, ""), ROW(38:38))), "")</f>
        <v>38</v>
      </c>
      <c r="C53" s="9" t="str">
        <f>_xlfn.XLOOKUP($B53,Data!$A$8:$A$200,Data!B$8:B$200,"",2)</f>
        <v>CE4010</v>
      </c>
      <c r="D53" t="str">
        <f>_xlfn.XLOOKUP($B53,Data!$A$8:$A$200,Data!C$8:C$200,"",2)</f>
        <v>Construction Project Management</v>
      </c>
      <c r="E53" t="str">
        <f>_xlfn.XLOOKUP($B53,Data!$A$8:$A$200,Data!D$8:D$200,"",2)</f>
        <v xml:space="preserve">Professional </v>
      </c>
      <c r="F53">
        <f>IF(_xlfn.XLOOKUP($B53,Data!$A$8:$A$200,Data!H$8:H$200,"",2) = 0, "-", _xlfn.XLOOKUP($B53,Data!$A$8:$A$200,Data!H$8:H$200,"",2))</f>
        <v>6</v>
      </c>
      <c r="G53" s="9">
        <f>_xlfn.XLOOKUP($B53,Data!$A$8:$A$200,Data!E$8:E$200,"",2)</f>
        <v>10</v>
      </c>
      <c r="H53" s="9" t="str">
        <f>_xlfn.XLOOKUP($B53,Data!$A$8:$A$200,Data!F$8:F$200,"",2)</f>
        <v>S</v>
      </c>
      <c r="I53" s="9" t="str">
        <f>_xlfn.XLOOKUP($B53,Data!$A$8:$A$200,Data!G$8:G$200,"",2)</f>
        <v xml:space="preserve">G </v>
      </c>
    </row>
    <row r="54" spans="2:9" x14ac:dyDescent="0.3">
      <c r="B54" cm="1">
        <f t="array" ref="B54">IFERROR(INDEX(Data!$A$8:$A$200, SMALL(IF(ISNUMBER(Data!$A$8:$A$200), ROW(Data!$A$8:$A$200)-MIN(ROW(Data!$A$8:$G$200))+1, ""), ROW(39:39))), "")</f>
        <v>39</v>
      </c>
      <c r="C54" s="9" t="str">
        <f>_xlfn.XLOOKUP($B54,Data!$A$8:$A$200,Data!B$8:B$200,"",2)</f>
        <v>CE6030</v>
      </c>
      <c r="D54" t="str">
        <f>_xlfn.XLOOKUP($B54,Data!$A$8:$A$200,Data!C$8:C$200,"",2)</f>
        <v>Construction economics and finance</v>
      </c>
      <c r="E54" t="str">
        <f>_xlfn.XLOOKUP($B54,Data!$A$8:$A$200,Data!D$8:D$200,"",2)</f>
        <v xml:space="preserve">Professional </v>
      </c>
      <c r="F54">
        <f>IF(_xlfn.XLOOKUP($B54,Data!$A$8:$A$200,Data!H$8:H$200,"",2) = 0, "-", _xlfn.XLOOKUP($B54,Data!$A$8:$A$200,Data!H$8:H$200,"",2))</f>
        <v>6</v>
      </c>
      <c r="G54" s="9">
        <f>_xlfn.XLOOKUP($B54,Data!$A$8:$A$200,Data!E$8:E$200,"",2)</f>
        <v>9</v>
      </c>
      <c r="H54" s="9" t="str">
        <f>_xlfn.XLOOKUP($B54,Data!$A$8:$A$200,Data!F$8:F$200,"",2)</f>
        <v>A</v>
      </c>
      <c r="I54" s="9" t="str">
        <f>_xlfn.XLOOKUP($B54,Data!$A$8:$A$200,Data!G$8:G$200,"",2)</f>
        <v>VG</v>
      </c>
    </row>
    <row r="55" spans="2:9" x14ac:dyDescent="0.3">
      <c r="B55" cm="1">
        <f t="array" ref="B55">IFERROR(INDEX(Data!$A$8:$A$200, SMALL(IF(ISNUMBER(Data!$A$8:$A$200), ROW(Data!$A$8:$A$200)-MIN(ROW(Data!$A$8:$G$200))+1, ""), ROW(40:40))), "")</f>
        <v>40</v>
      </c>
      <c r="C55" s="9" t="str">
        <f>_xlfn.XLOOKUP($B55,Data!$A$8:$A$200,Data!B$8:B$200,"",2)</f>
        <v>GN6001</v>
      </c>
      <c r="D55" t="str">
        <f>_xlfn.XLOOKUP($B55,Data!$A$8:$A$200,Data!C$8:C$200,"",2)</f>
        <v>Integral Karmayoga</v>
      </c>
      <c r="E55" t="str">
        <f>_xlfn.XLOOKUP($B55,Data!$A$8:$A$200,Data!D$8:D$200,"",2)</f>
        <v xml:space="preserve">Science </v>
      </c>
      <c r="F55">
        <f>IF(_xlfn.XLOOKUP($B55,Data!$A$8:$A$200,Data!H$8:H$200,"",2) = 0, "-", _xlfn.XLOOKUP($B55,Data!$A$8:$A$200,Data!H$8:H$200,"",2))</f>
        <v>6</v>
      </c>
      <c r="G55" s="9">
        <f>_xlfn.XLOOKUP($B55,Data!$A$8:$A$200,Data!E$8:E$200,"",2)</f>
        <v>9</v>
      </c>
      <c r="H55" s="9" t="str">
        <f>_xlfn.XLOOKUP($B55,Data!$A$8:$A$200,Data!F$8:F$200,"",2)</f>
        <v>C</v>
      </c>
      <c r="I55" s="9" t="str">
        <f>_xlfn.XLOOKUP($B55,Data!$A$8:$A$200,Data!G$8:G$200,"",2)</f>
        <v>VG</v>
      </c>
    </row>
    <row r="56" spans="2:9" x14ac:dyDescent="0.3">
      <c r="B56" cm="1">
        <f t="array" ref="B56">IFERROR(INDEX(Data!$A$8:$A$200, SMALL(IF(ISNUMBER(Data!$A$8:$A$200), ROW(Data!$A$8:$A$200)-MIN(ROW(Data!$A$8:$G$200))+1, ""), ROW(41:41))), "")</f>
        <v>41</v>
      </c>
      <c r="C56" s="9" t="str">
        <f>_xlfn.XLOOKUP($B56,Data!$A$8:$A$200,Data!B$8:B$200,"",2)</f>
        <v>HS4570</v>
      </c>
      <c r="D56" t="str">
        <f>_xlfn.XLOOKUP($B56,Data!$A$8:$A$200,Data!C$8:C$200,"",2)</f>
        <v>Gandhian Thought</v>
      </c>
      <c r="E56" t="str">
        <f>_xlfn.XLOOKUP($B56,Data!$A$8:$A$200,Data!D$8:D$200,"",2)</f>
        <v xml:space="preserve">Humanities </v>
      </c>
      <c r="F56">
        <f>IF(_xlfn.XLOOKUP($B56,Data!$A$8:$A$200,Data!H$8:H$200,"",2) = 0, "-", _xlfn.XLOOKUP($B56,Data!$A$8:$A$200,Data!H$8:H$200,"",2))</f>
        <v>6</v>
      </c>
      <c r="G56" s="9">
        <f>_xlfn.XLOOKUP($B56,Data!$A$8:$A$200,Data!E$8:E$200,"",2)</f>
        <v>12</v>
      </c>
      <c r="H56" s="9" t="str">
        <f>_xlfn.XLOOKUP($B56,Data!$A$8:$A$200,Data!F$8:F$200,"",2)</f>
        <v>A</v>
      </c>
      <c r="I56" s="9" t="str">
        <f>_xlfn.XLOOKUP($B56,Data!$A$8:$A$200,Data!G$8:G$200,"",2)</f>
        <v xml:space="preserve">M </v>
      </c>
    </row>
    <row r="57" spans="2:9" x14ac:dyDescent="0.3">
      <c r="B57" cm="1">
        <f t="array" ref="B57">IFERROR(INDEX(Data!$A$8:$A$200, SMALL(IF(ISNUMBER(Data!$A$8:$A$200), ROW(Data!$A$8:$A$200)-MIN(ROW(Data!$A$8:$G$200))+1, ""), ROW(42:42))), "")</f>
        <v>42</v>
      </c>
      <c r="C57" s="9" t="str">
        <f>_xlfn.XLOOKUP($B57,Data!$A$8:$A$200,Data!B$8:B$200,"",2)</f>
        <v>Design of steel structural systems</v>
      </c>
      <c r="D57">
        <f>_xlfn.XLOOKUP($B57,Data!$A$8:$A$200,Data!C$8:C$200,"",2)</f>
        <v>0</v>
      </c>
      <c r="E57">
        <f>_xlfn.XLOOKUP($B57,Data!$A$8:$A$200,Data!D$8:D$200,"",2)</f>
        <v>0</v>
      </c>
      <c r="F57">
        <f>IF(_xlfn.XLOOKUP($B57,Data!$A$8:$A$200,Data!H$8:H$200,"",2) = 0, "-", _xlfn.XLOOKUP($B57,Data!$A$8:$A$200,Data!H$8:H$200,"",2))</f>
        <v>7</v>
      </c>
      <c r="G57" s="9">
        <f>_xlfn.XLOOKUP($B57,Data!$A$8:$A$200,Data!E$8:E$200,"",2)</f>
        <v>0</v>
      </c>
      <c r="H57" s="9">
        <f>_xlfn.XLOOKUP($B57,Data!$A$8:$A$200,Data!F$8:F$200,"",2)</f>
        <v>0</v>
      </c>
      <c r="I57" s="9">
        <f>_xlfn.XLOOKUP($B57,Data!$A$8:$A$200,Data!G$8:G$200,"",2)</f>
        <v>0</v>
      </c>
    </row>
    <row r="58" spans="2:9" x14ac:dyDescent="0.3">
      <c r="B58" cm="1">
        <f t="array" ref="B58">IFERROR(INDEX(Data!$A$8:$A$200, SMALL(IF(ISNUMBER(Data!$A$8:$A$200), ROW(Data!$A$8:$A$200)-MIN(ROW(Data!$A$8:$G$200))+1, ""), ROW(43:43))), "")</f>
        <v>43</v>
      </c>
      <c r="C58" s="9" t="str">
        <f>_xlfn.XLOOKUP($B58,Data!$A$8:$A$200,Data!B$8:B$200,"",2)</f>
        <v>Under graduate Project I</v>
      </c>
      <c r="D58">
        <f>_xlfn.XLOOKUP($B58,Data!$A$8:$A$200,Data!C$8:C$200,"",2)</f>
        <v>0</v>
      </c>
      <c r="E58">
        <f>_xlfn.XLOOKUP($B58,Data!$A$8:$A$200,Data!D$8:D$200,"",2)</f>
        <v>0</v>
      </c>
      <c r="F58">
        <f>IF(_xlfn.XLOOKUP($B58,Data!$A$8:$A$200,Data!H$8:H$200,"",2) = 0, "-", _xlfn.XLOOKUP($B58,Data!$A$8:$A$200,Data!H$8:H$200,"",2))</f>
        <v>7</v>
      </c>
      <c r="G58" s="9">
        <f>_xlfn.XLOOKUP($B58,Data!$A$8:$A$200,Data!E$8:E$200,"",2)</f>
        <v>0</v>
      </c>
      <c r="H58" s="9">
        <f>_xlfn.XLOOKUP($B58,Data!$A$8:$A$200,Data!F$8:F$200,"",2)</f>
        <v>0</v>
      </c>
      <c r="I58" s="9">
        <f>_xlfn.XLOOKUP($B58,Data!$A$8:$A$200,Data!G$8:G$200,"",2)</f>
        <v>0</v>
      </c>
    </row>
    <row r="59" spans="2:9" x14ac:dyDescent="0.3">
      <c r="B59" cm="1">
        <f t="array" ref="B59">IFERROR(INDEX(Data!$A$8:$A$200, SMALL(IF(ISNUMBER(Data!$A$8:$A$200), ROW(Data!$A$8:$A$200)-MIN(ROW(Data!$A$8:$G$200))+1, ""), ROW(44:44))), "")</f>
        <v>44</v>
      </c>
      <c r="C59" s="9" t="str">
        <f>_xlfn.XLOOKUP($B59,Data!$A$8:$A$200,Data!B$8:B$200,"",2)</f>
        <v>Structural Fire Engineering</v>
      </c>
      <c r="D59">
        <f>_xlfn.XLOOKUP($B59,Data!$A$8:$A$200,Data!C$8:C$200,"",2)</f>
        <v>0</v>
      </c>
      <c r="E59">
        <f>_xlfn.XLOOKUP($B59,Data!$A$8:$A$200,Data!D$8:D$200,"",2)</f>
        <v>0</v>
      </c>
      <c r="F59">
        <f>IF(_xlfn.XLOOKUP($B59,Data!$A$8:$A$200,Data!H$8:H$200,"",2) = 0, "-", _xlfn.XLOOKUP($B59,Data!$A$8:$A$200,Data!H$8:H$200,"",2))</f>
        <v>7</v>
      </c>
      <c r="G59" s="9">
        <f>_xlfn.XLOOKUP($B59,Data!$A$8:$A$200,Data!E$8:E$200,"",2)</f>
        <v>0</v>
      </c>
      <c r="H59" s="9">
        <f>_xlfn.XLOOKUP($B59,Data!$A$8:$A$200,Data!F$8:F$200,"",2)</f>
        <v>0</v>
      </c>
      <c r="I59" s="9">
        <f>_xlfn.XLOOKUP($B59,Data!$A$8:$A$200,Data!G$8:G$200,"",2)</f>
        <v>0</v>
      </c>
    </row>
    <row r="60" spans="2:9" x14ac:dyDescent="0.3">
      <c r="B60" cm="1">
        <f t="array" ref="B60">IFERROR(INDEX(Data!$A$8:$A$200, SMALL(IF(ISNUMBER(Data!$A$8:$A$200), ROW(Data!$A$8:$A$200)-MIN(ROW(Data!$A$8:$G$200))+1, ""), ROW(45:45))), "")</f>
        <v>45</v>
      </c>
      <c r="C60" s="9" t="str">
        <f>_xlfn.XLOOKUP($B60,Data!$A$8:$A$200,Data!B$8:B$200,"",2)</f>
        <v>Finite Element Analysis</v>
      </c>
      <c r="D60">
        <f>_xlfn.XLOOKUP($B60,Data!$A$8:$A$200,Data!C$8:C$200,"",2)</f>
        <v>0</v>
      </c>
      <c r="E60">
        <f>_xlfn.XLOOKUP($B60,Data!$A$8:$A$200,Data!D$8:D$200,"",2)</f>
        <v>0</v>
      </c>
      <c r="F60">
        <f>IF(_xlfn.XLOOKUP($B60,Data!$A$8:$A$200,Data!H$8:H$200,"",2) = 0, "-", _xlfn.XLOOKUP($B60,Data!$A$8:$A$200,Data!H$8:H$200,"",2))</f>
        <v>7</v>
      </c>
      <c r="G60" s="9">
        <f>_xlfn.XLOOKUP($B60,Data!$A$8:$A$200,Data!E$8:E$200,"",2)</f>
        <v>0</v>
      </c>
      <c r="H60" s="9">
        <f>_xlfn.XLOOKUP($B60,Data!$A$8:$A$200,Data!F$8:F$200,"",2)</f>
        <v>0</v>
      </c>
      <c r="I60" s="9">
        <f>_xlfn.XLOOKUP($B60,Data!$A$8:$A$200,Data!G$8:G$200,"",2)</f>
        <v>0</v>
      </c>
    </row>
    <row r="61" spans="2:9" x14ac:dyDescent="0.3">
      <c r="B61" cm="1">
        <f t="array" ref="B61">IFERROR(INDEX(Data!$A$8:$A$200, SMALL(IF(ISNUMBER(Data!$A$8:$A$200), ROW(Data!$A$8:$A$200)-MIN(ROW(Data!$A$8:$G$200))+1, ""), ROW(46:46))), "")</f>
        <v>46</v>
      </c>
      <c r="C61" s="9" t="str">
        <f>_xlfn.XLOOKUP($B61,Data!$A$8:$A$200,Data!B$8:B$200,"",2)</f>
        <v>Systems Thinking for Engineers (Cultivating Wisdom</v>
      </c>
      <c r="D61">
        <f>_xlfn.XLOOKUP($B61,Data!$A$8:$A$200,Data!C$8:C$200,"",2)</f>
        <v>0</v>
      </c>
      <c r="E61">
        <f>_xlfn.XLOOKUP($B61,Data!$A$8:$A$200,Data!D$8:D$200,"",2)</f>
        <v>0</v>
      </c>
      <c r="F61">
        <f>IF(_xlfn.XLOOKUP($B61,Data!$A$8:$A$200,Data!H$8:H$200,"",2) = 0, "-", _xlfn.XLOOKUP($B61,Data!$A$8:$A$200,Data!H$8:H$200,"",2))</f>
        <v>7</v>
      </c>
      <c r="G61" s="9">
        <f>_xlfn.XLOOKUP($B61,Data!$A$8:$A$200,Data!E$8:E$200,"",2)</f>
        <v>0</v>
      </c>
      <c r="H61" s="9">
        <f>_xlfn.XLOOKUP($B61,Data!$A$8:$A$200,Data!F$8:F$200,"",2)</f>
        <v>0</v>
      </c>
      <c r="I61" s="9">
        <f>_xlfn.XLOOKUP($B61,Data!$A$8:$A$200,Data!G$8:G$200,"",2)</f>
        <v>0</v>
      </c>
    </row>
    <row r="62" spans="2:9" x14ac:dyDescent="0.3">
      <c r="B62" t="str" cm="1">
        <f t="array" ref="B62">IFERROR(INDEX(Data!$A$8:$A$200, SMALL(IF(ISNUMBER(Data!$A$8:$A$200), ROW(Data!$A$8:$A$200)-MIN(ROW(Data!$A$8:$G$200))+1, ""), ROW(47:47))), "")</f>
        <v/>
      </c>
      <c r="C62" s="9" t="str">
        <f>_xlfn.XLOOKUP($B62,Data!$A$8:$A$200,Data!B$8:B$200,"",2)</f>
        <v/>
      </c>
      <c r="D62" t="str">
        <f>_xlfn.XLOOKUP($B62,Data!$A$8:$A$200,Data!C$8:C$200,"",2)</f>
        <v/>
      </c>
      <c r="E62" t="str">
        <f>_xlfn.XLOOKUP($B62,Data!$A$8:$A$200,Data!D$8:D$200,"",2)</f>
        <v/>
      </c>
      <c r="F62" t="str">
        <f>IF(_xlfn.XLOOKUP($B62,Data!$A$8:$A$200,Data!H$8:H$200,"",2) = 0, "-", _xlfn.XLOOKUP($B62,Data!$A$8:$A$200,Data!H$8:H$200,"",2))</f>
        <v/>
      </c>
      <c r="G62" s="9" t="str">
        <f>_xlfn.XLOOKUP($B62,Data!$A$8:$A$200,Data!E$8:E$200,"",2)</f>
        <v/>
      </c>
      <c r="H62" s="9" t="str">
        <f>_xlfn.XLOOKUP($B62,Data!$A$8:$A$200,Data!F$8:F$200,"",2)</f>
        <v/>
      </c>
      <c r="I62" s="9" t="str">
        <f>_xlfn.XLOOKUP($B62,Data!$A$8:$A$200,Data!G$8:G$200,"",2)</f>
        <v/>
      </c>
    </row>
    <row r="63" spans="2:9" x14ac:dyDescent="0.3">
      <c r="B63" t="str" cm="1">
        <f t="array" ref="B63">IFERROR(INDEX(Data!$A$8:$A$200, SMALL(IF(ISNUMBER(Data!$A$8:$A$200), ROW(Data!$A$8:$A$200)-MIN(ROW(Data!$A$8:$G$200))+1, ""), ROW(48:48))), "")</f>
        <v/>
      </c>
      <c r="C63" s="9" t="str">
        <f>_xlfn.XLOOKUP($B63,Data!$A$8:$A$200,Data!B$8:B$200,"",2)</f>
        <v/>
      </c>
      <c r="D63" t="str">
        <f>_xlfn.XLOOKUP($B63,Data!$A$8:$A$200,Data!C$8:C$200,"",2)</f>
        <v/>
      </c>
      <c r="E63" t="str">
        <f>_xlfn.XLOOKUP($B63,Data!$A$8:$A$200,Data!D$8:D$200,"",2)</f>
        <v/>
      </c>
      <c r="F63" t="str">
        <f>IF(_xlfn.XLOOKUP($B63,Data!$A$8:$A$200,Data!H$8:H$200,"",2) = 0, "-", _xlfn.XLOOKUP($B63,Data!$A$8:$A$200,Data!H$8:H$200,"",2))</f>
        <v/>
      </c>
      <c r="G63" s="9" t="str">
        <f>_xlfn.XLOOKUP($B63,Data!$A$8:$A$200,Data!E$8:E$200,"",2)</f>
        <v/>
      </c>
      <c r="H63" s="9" t="str">
        <f>_xlfn.XLOOKUP($B63,Data!$A$8:$A$200,Data!F$8:F$200,"",2)</f>
        <v/>
      </c>
      <c r="I63" s="9" t="str">
        <f>_xlfn.XLOOKUP($B63,Data!$A$8:$A$200,Data!G$8:G$200,"",2)</f>
        <v/>
      </c>
    </row>
    <row r="64" spans="2:9" x14ac:dyDescent="0.3">
      <c r="B64" t="str" cm="1">
        <f t="array" ref="B64">IFERROR(INDEX(Data!$A$8:$A$200, SMALL(IF(ISNUMBER(Data!$A$8:$A$200), ROW(Data!$A$8:$A$200)-MIN(ROW(Data!$A$8:$G$200))+1, ""), ROW(49:49))), "")</f>
        <v/>
      </c>
      <c r="C64" s="9" t="str">
        <f>_xlfn.XLOOKUP($B64,Data!$A$8:$A$200,Data!B$8:B$200,"",2)</f>
        <v/>
      </c>
      <c r="D64" t="str">
        <f>_xlfn.XLOOKUP($B64,Data!$A$8:$A$200,Data!C$8:C$200,"",2)</f>
        <v/>
      </c>
      <c r="E64" t="str">
        <f>_xlfn.XLOOKUP($B64,Data!$A$8:$A$200,Data!D$8:D$200,"",2)</f>
        <v/>
      </c>
      <c r="F64" t="str">
        <f>IF(_xlfn.XLOOKUP($B64,Data!$A$8:$A$200,Data!H$8:H$200,"",2) = 0, "-", _xlfn.XLOOKUP($B64,Data!$A$8:$A$200,Data!H$8:H$200,"",2))</f>
        <v/>
      </c>
      <c r="G64" s="9" t="str">
        <f>_xlfn.XLOOKUP($B64,Data!$A$8:$A$200,Data!E$8:E$200,"",2)</f>
        <v/>
      </c>
      <c r="H64" s="9" t="str">
        <f>_xlfn.XLOOKUP($B64,Data!$A$8:$A$200,Data!F$8:F$200,"",2)</f>
        <v/>
      </c>
      <c r="I64" s="9" t="str">
        <f>_xlfn.XLOOKUP($B64,Data!$A$8:$A$200,Data!G$8:G$200,"",2)</f>
        <v/>
      </c>
    </row>
    <row r="65" spans="2:9" x14ac:dyDescent="0.3">
      <c r="B65" t="str" cm="1">
        <f t="array" ref="B65">IFERROR(INDEX(Data!$A$8:$A$200, SMALL(IF(ISNUMBER(Data!$A$8:$A$200), ROW(Data!$A$8:$A$200)-MIN(ROW(Data!$A$8:$G$200))+1, ""), ROW(50:50))), "")</f>
        <v/>
      </c>
      <c r="C65" s="9" t="str">
        <f>_xlfn.XLOOKUP($B65,Data!$A$8:$A$200,Data!B$8:B$200,"",2)</f>
        <v/>
      </c>
      <c r="D65" t="str">
        <f>_xlfn.XLOOKUP($B65,Data!$A$8:$A$200,Data!C$8:C$200,"",2)</f>
        <v/>
      </c>
      <c r="E65" t="str">
        <f>_xlfn.XLOOKUP($B65,Data!$A$8:$A$200,Data!D$8:D$200,"",2)</f>
        <v/>
      </c>
      <c r="F65" t="str">
        <f>IF(_xlfn.XLOOKUP($B65,Data!$A$8:$A$200,Data!H$8:H$200,"",2) = 0, "-", _xlfn.XLOOKUP($B65,Data!$A$8:$A$200,Data!H$8:H$200,"",2))</f>
        <v/>
      </c>
      <c r="G65" s="9" t="str">
        <f>_xlfn.XLOOKUP($B65,Data!$A$8:$A$200,Data!E$8:E$200,"",2)</f>
        <v/>
      </c>
      <c r="H65" s="9" t="str">
        <f>_xlfn.XLOOKUP($B65,Data!$A$8:$A$200,Data!F$8:F$200,"",2)</f>
        <v/>
      </c>
      <c r="I65" s="9" t="str">
        <f>_xlfn.XLOOKUP($B65,Data!$A$8:$A$200,Data!G$8:G$200,"",2)</f>
        <v/>
      </c>
    </row>
    <row r="66" spans="2:9" x14ac:dyDescent="0.3">
      <c r="B66" t="str" cm="1">
        <f t="array" ref="B66">IFERROR(INDEX(Data!$A$8:$A$200, SMALL(IF(ISNUMBER(Data!$A$8:$A$200), ROW(Data!$A$8:$A$200)-MIN(ROW(Data!$A$8:$G$200))+1, ""), ROW(51:51))), "")</f>
        <v/>
      </c>
      <c r="C66" s="9" t="str">
        <f>_xlfn.XLOOKUP($B66,Data!$A$8:$A$200,Data!B$8:B$200,"",2)</f>
        <v/>
      </c>
      <c r="D66" t="str">
        <f>_xlfn.XLOOKUP($B66,Data!$A$8:$A$200,Data!C$8:C$200,"",2)</f>
        <v/>
      </c>
      <c r="E66" t="str">
        <f>_xlfn.XLOOKUP($B66,Data!$A$8:$A$200,Data!D$8:D$200,"",2)</f>
        <v/>
      </c>
      <c r="F66" t="str">
        <f>IF(_xlfn.XLOOKUP($B66,Data!$A$8:$A$200,Data!H$8:H$200,"",2) = 0, "-", _xlfn.XLOOKUP($B66,Data!$A$8:$A$200,Data!H$8:H$200,"",2))</f>
        <v/>
      </c>
      <c r="G66" s="9" t="str">
        <f>_xlfn.XLOOKUP($B66,Data!$A$8:$A$200,Data!E$8:E$200,"",2)</f>
        <v/>
      </c>
      <c r="H66" s="9" t="str">
        <f>_xlfn.XLOOKUP($B66,Data!$A$8:$A$200,Data!F$8:F$200,"",2)</f>
        <v/>
      </c>
      <c r="I66" s="9" t="str">
        <f>_xlfn.XLOOKUP($B66,Data!$A$8:$A$200,Data!G$8:G$200,"",2)</f>
        <v/>
      </c>
    </row>
    <row r="67" spans="2:9" x14ac:dyDescent="0.3">
      <c r="B67" t="str" cm="1">
        <f t="array" ref="B67">IFERROR(INDEX(Data!$A$8:$A$200, SMALL(IF(ISNUMBER(Data!$A$8:$A$200), ROW(Data!$A$8:$A$200)-MIN(ROW(Data!$A$8:$G$200))+1, ""), ROW(52:52))), "")</f>
        <v/>
      </c>
      <c r="C67" s="9" t="str">
        <f>_xlfn.XLOOKUP($B67,Data!$A$8:$A$200,Data!B$8:B$200,"",2)</f>
        <v/>
      </c>
      <c r="D67" t="str">
        <f>_xlfn.XLOOKUP($B67,Data!$A$8:$A$200,Data!C$8:C$200,"",2)</f>
        <v/>
      </c>
      <c r="E67" t="str">
        <f>_xlfn.XLOOKUP($B67,Data!$A$8:$A$200,Data!D$8:D$200,"",2)</f>
        <v/>
      </c>
      <c r="F67" t="str">
        <f>IF(_xlfn.XLOOKUP($B67,Data!$A$8:$A$200,Data!H$8:H$200,"",2) = 0, "-", _xlfn.XLOOKUP($B67,Data!$A$8:$A$200,Data!H$8:H$200,"",2))</f>
        <v/>
      </c>
      <c r="G67" s="9" t="str">
        <f>_xlfn.XLOOKUP($B67,Data!$A$8:$A$200,Data!E$8:E$200,"",2)</f>
        <v/>
      </c>
      <c r="H67" s="9" t="str">
        <f>_xlfn.XLOOKUP($B67,Data!$A$8:$A$200,Data!F$8:F$200,"",2)</f>
        <v/>
      </c>
      <c r="I67" s="9" t="str">
        <f>_xlfn.XLOOKUP($B67,Data!$A$8:$A$200,Data!G$8:G$200,"",2)</f>
        <v/>
      </c>
    </row>
    <row r="68" spans="2:9" x14ac:dyDescent="0.3">
      <c r="B68" t="str" cm="1">
        <f t="array" ref="B68">IFERROR(INDEX(Data!$A$8:$A$200, SMALL(IF(ISNUMBER(Data!$A$8:$A$200), ROW(Data!$A$8:$A$200)-MIN(ROW(Data!$A$8:$G$200))+1, ""), ROW(53:53))), "")</f>
        <v/>
      </c>
      <c r="C68" s="9" t="str">
        <f>_xlfn.XLOOKUP($B68,Data!$A$8:$A$200,Data!B$8:B$200,"",2)</f>
        <v/>
      </c>
      <c r="D68" t="str">
        <f>_xlfn.XLOOKUP($B68,Data!$A$8:$A$200,Data!C$8:C$200,"",2)</f>
        <v/>
      </c>
      <c r="E68" t="str">
        <f>_xlfn.XLOOKUP($B68,Data!$A$8:$A$200,Data!D$8:D$200,"",2)</f>
        <v/>
      </c>
      <c r="F68" t="str">
        <f>IF(_xlfn.XLOOKUP($B68,Data!$A$8:$A$200,Data!H$8:H$200,"",2) = 0, "-", _xlfn.XLOOKUP($B68,Data!$A$8:$A$200,Data!H$8:H$200,"",2))</f>
        <v/>
      </c>
      <c r="G68" s="9" t="str">
        <f>_xlfn.XLOOKUP($B68,Data!$A$8:$A$200,Data!E$8:E$200,"",2)</f>
        <v/>
      </c>
      <c r="H68" s="9" t="str">
        <f>_xlfn.XLOOKUP($B68,Data!$A$8:$A$200,Data!F$8:F$200,"",2)</f>
        <v/>
      </c>
      <c r="I68" s="9" t="str">
        <f>_xlfn.XLOOKUP($B68,Data!$A$8:$A$200,Data!G$8:G$200,"",2)</f>
        <v/>
      </c>
    </row>
    <row r="69" spans="2:9" x14ac:dyDescent="0.3">
      <c r="B69" t="str" cm="1">
        <f t="array" ref="B69">IFERROR(INDEX(Data!$A$8:$A$200, SMALL(IF(ISNUMBER(Data!$A$8:$A$200), ROW(Data!$A$8:$A$200)-MIN(ROW(Data!$A$8:$G$200))+1, ""), ROW(54:54))), "")</f>
        <v/>
      </c>
      <c r="C69" s="9" t="str">
        <f>_xlfn.XLOOKUP($B69,Data!$A$8:$A$200,Data!B$8:B$200,"",2)</f>
        <v/>
      </c>
      <c r="D69" t="str">
        <f>_xlfn.XLOOKUP($B69,Data!$A$8:$A$200,Data!C$8:C$200,"",2)</f>
        <v/>
      </c>
      <c r="E69" t="str">
        <f>_xlfn.XLOOKUP($B69,Data!$A$8:$A$200,Data!D$8:D$200,"",2)</f>
        <v/>
      </c>
      <c r="F69" t="str">
        <f>IF(_xlfn.XLOOKUP($B69,Data!$A$8:$A$200,Data!H$8:H$200,"",2) = 0, "-", _xlfn.XLOOKUP($B69,Data!$A$8:$A$200,Data!H$8:H$200,"",2))</f>
        <v/>
      </c>
      <c r="G69" s="9" t="str">
        <f>_xlfn.XLOOKUP($B69,Data!$A$8:$A$200,Data!E$8:E$200,"",2)</f>
        <v/>
      </c>
      <c r="H69" s="9" t="str">
        <f>_xlfn.XLOOKUP($B69,Data!$A$8:$A$200,Data!F$8:F$200,"",2)</f>
        <v/>
      </c>
      <c r="I69" s="9" t="str">
        <f>_xlfn.XLOOKUP($B69,Data!$A$8:$A$200,Data!G$8:G$200,"",2)</f>
        <v/>
      </c>
    </row>
    <row r="70" spans="2:9" x14ac:dyDescent="0.3">
      <c r="B70" t="str" cm="1">
        <f t="array" ref="B70">IFERROR(INDEX(Data!$A$8:$A$200, SMALL(IF(ISNUMBER(Data!$A$8:$A$200), ROW(Data!$A$8:$A$200)-MIN(ROW(Data!$A$8:$G$200))+1, ""), ROW(55:55))), "")</f>
        <v/>
      </c>
      <c r="C70" s="9" t="str">
        <f>_xlfn.XLOOKUP($B70,Data!$A$8:$A$200,Data!B$8:B$200,"",2)</f>
        <v/>
      </c>
      <c r="D70" t="str">
        <f>_xlfn.XLOOKUP($B70,Data!$A$8:$A$200,Data!C$8:C$200,"",2)</f>
        <v/>
      </c>
      <c r="E70" t="str">
        <f>_xlfn.XLOOKUP($B70,Data!$A$8:$A$200,Data!D$8:D$200,"",2)</f>
        <v/>
      </c>
      <c r="F70" t="str">
        <f>IF(_xlfn.XLOOKUP($B70,Data!$A$8:$A$200,Data!H$8:H$200,"",2) = 0, "-", _xlfn.XLOOKUP($B70,Data!$A$8:$A$200,Data!H$8:H$200,"",2))</f>
        <v/>
      </c>
      <c r="G70" s="9" t="str">
        <f>_xlfn.XLOOKUP($B70,Data!$A$8:$A$200,Data!E$8:E$200,"",2)</f>
        <v/>
      </c>
      <c r="H70" s="9" t="str">
        <f>_xlfn.XLOOKUP($B70,Data!$A$8:$A$200,Data!F$8:F$200,"",2)</f>
        <v/>
      </c>
      <c r="I70" s="9" t="str">
        <f>_xlfn.XLOOKUP($B70,Data!$A$8:$A$200,Data!G$8:G$200,"",2)</f>
        <v/>
      </c>
    </row>
    <row r="71" spans="2:9" x14ac:dyDescent="0.3">
      <c r="B71" t="str" cm="1">
        <f t="array" ref="B71">IFERROR(INDEX(Data!$A$8:$A$200, SMALL(IF(ISNUMBER(Data!$A$8:$A$200), ROW(Data!$A$8:$A$200)-MIN(ROW(Data!$A$8:$G$200))+1, ""), ROW(56:56))), "")</f>
        <v/>
      </c>
      <c r="C71" s="9" t="str">
        <f>_xlfn.XLOOKUP($B71,Data!$A$8:$A$200,Data!B$8:B$200,"",2)</f>
        <v/>
      </c>
      <c r="D71" t="str">
        <f>_xlfn.XLOOKUP($B71,Data!$A$8:$A$200,Data!C$8:C$200,"",2)</f>
        <v/>
      </c>
      <c r="E71" t="str">
        <f>_xlfn.XLOOKUP($B71,Data!$A$8:$A$200,Data!D$8:D$200,"",2)</f>
        <v/>
      </c>
      <c r="F71" t="str">
        <f>IF(_xlfn.XLOOKUP($B71,Data!$A$8:$A$200,Data!H$8:H$200,"",2) = 0, "-", _xlfn.XLOOKUP($B71,Data!$A$8:$A$200,Data!H$8:H$200,"",2))</f>
        <v/>
      </c>
      <c r="G71" s="9" t="str">
        <f>_xlfn.XLOOKUP($B71,Data!$A$8:$A$200,Data!E$8:E$200,"",2)</f>
        <v/>
      </c>
      <c r="H71" s="9" t="str">
        <f>_xlfn.XLOOKUP($B71,Data!$A$8:$A$200,Data!F$8:F$200,"",2)</f>
        <v/>
      </c>
      <c r="I71" s="9" t="str">
        <f>_xlfn.XLOOKUP($B71,Data!$A$8:$A$200,Data!G$8:G$200,"",2)</f>
        <v/>
      </c>
    </row>
    <row r="72" spans="2:9" x14ac:dyDescent="0.3">
      <c r="B72" t="str" cm="1">
        <f t="array" ref="B72">IFERROR(INDEX(Data!$A$8:$A$200, SMALL(IF(ISNUMBER(Data!$A$8:$A$200), ROW(Data!$A$8:$A$200)-MIN(ROW(Data!$A$8:$G$200))+1, ""), ROW(57:57))), "")</f>
        <v/>
      </c>
      <c r="C72" s="9" t="str">
        <f>_xlfn.XLOOKUP($B72,Data!$A$8:$A$200,Data!B$8:B$200,"",2)</f>
        <v/>
      </c>
      <c r="D72" t="str">
        <f>_xlfn.XLOOKUP($B72,Data!$A$8:$A$200,Data!C$8:C$200,"",2)</f>
        <v/>
      </c>
      <c r="E72" t="str">
        <f>_xlfn.XLOOKUP($B72,Data!$A$8:$A$200,Data!D$8:D$200,"",2)</f>
        <v/>
      </c>
      <c r="F72" t="str">
        <f>IF(_xlfn.XLOOKUP($B72,Data!$A$8:$A$200,Data!H$8:H$200,"",2) = 0, "-", _xlfn.XLOOKUP($B72,Data!$A$8:$A$200,Data!H$8:H$200,"",2))</f>
        <v/>
      </c>
      <c r="G72" s="9" t="str">
        <f>_xlfn.XLOOKUP($B72,Data!$A$8:$A$200,Data!E$8:E$200,"",2)</f>
        <v/>
      </c>
      <c r="H72" s="9" t="str">
        <f>_xlfn.XLOOKUP($B72,Data!$A$8:$A$200,Data!F$8:F$200,"",2)</f>
        <v/>
      </c>
      <c r="I72" s="9" t="str">
        <f>_xlfn.XLOOKUP($B72,Data!$A$8:$A$200,Data!G$8:G$200,"",2)</f>
        <v/>
      </c>
    </row>
    <row r="73" spans="2:9" x14ac:dyDescent="0.3">
      <c r="B73" t="str" cm="1">
        <f t="array" ref="B73">IFERROR(INDEX(Data!$A$8:$A$200, SMALL(IF(ISNUMBER(Data!$A$8:$A$200), ROW(Data!$A$8:$A$200)-MIN(ROW(Data!$A$8:$G$200))+1, ""), ROW(58:58))), "")</f>
        <v/>
      </c>
      <c r="C73" s="9" t="str">
        <f>_xlfn.XLOOKUP($B73,Data!$A$8:$A$200,Data!B$8:B$200,"",2)</f>
        <v/>
      </c>
      <c r="D73" t="str">
        <f>_xlfn.XLOOKUP($B73,Data!$A$8:$A$200,Data!C$8:C$200,"",2)</f>
        <v/>
      </c>
      <c r="E73" t="str">
        <f>_xlfn.XLOOKUP($B73,Data!$A$8:$A$200,Data!D$8:D$200,"",2)</f>
        <v/>
      </c>
      <c r="F73" t="str">
        <f>IF(_xlfn.XLOOKUP($B73,Data!$A$8:$A$200,Data!H$8:H$200,"",2) = 0, "-", _xlfn.XLOOKUP($B73,Data!$A$8:$A$200,Data!H$8:H$200,"",2))</f>
        <v/>
      </c>
      <c r="G73" s="9" t="str">
        <f>_xlfn.XLOOKUP($B73,Data!$A$8:$A$200,Data!E$8:E$200,"",2)</f>
        <v/>
      </c>
      <c r="H73" s="9" t="str">
        <f>_xlfn.XLOOKUP($B73,Data!$A$8:$A$200,Data!F$8:F$200,"",2)</f>
        <v/>
      </c>
      <c r="I73" s="9" t="str">
        <f>_xlfn.XLOOKUP($B73,Data!$A$8:$A$200,Data!G$8:G$200,"",2)</f>
        <v/>
      </c>
    </row>
    <row r="74" spans="2:9" x14ac:dyDescent="0.3">
      <c r="B74" t="str" cm="1">
        <f t="array" ref="B74">IFERROR(INDEX(Data!$A$8:$A$200, SMALL(IF(ISNUMBER(Data!$A$8:$A$200), ROW(Data!$A$8:$A$200)-MIN(ROW(Data!$A$8:$G$200))+1, ""), ROW(59:59))), "")</f>
        <v/>
      </c>
      <c r="C74" s="9" t="str">
        <f>_xlfn.XLOOKUP($B74,Data!$A$8:$A$200,Data!B$8:B$200,"",2)</f>
        <v/>
      </c>
      <c r="D74" t="str">
        <f>_xlfn.XLOOKUP($B74,Data!$A$8:$A$200,Data!C$8:C$200,"",2)</f>
        <v/>
      </c>
      <c r="E74" t="str">
        <f>_xlfn.XLOOKUP($B74,Data!$A$8:$A$200,Data!D$8:D$200,"",2)</f>
        <v/>
      </c>
      <c r="F74" t="str">
        <f>IF(_xlfn.XLOOKUP($B74,Data!$A$8:$A$200,Data!H$8:H$200,"",2) = 0, "-", _xlfn.XLOOKUP($B74,Data!$A$8:$A$200,Data!H$8:H$200,"",2))</f>
        <v/>
      </c>
      <c r="G74" s="9" t="str">
        <f>_xlfn.XLOOKUP($B74,Data!$A$8:$A$200,Data!E$8:E$200,"",2)</f>
        <v/>
      </c>
      <c r="H74" s="9" t="str">
        <f>_xlfn.XLOOKUP($B74,Data!$A$8:$A$200,Data!F$8:F$200,"",2)</f>
        <v/>
      </c>
      <c r="I74" s="9" t="str">
        <f>_xlfn.XLOOKUP($B74,Data!$A$8:$A$200,Data!G$8:G$200,"",2)</f>
        <v/>
      </c>
    </row>
    <row r="75" spans="2:9" x14ac:dyDescent="0.3">
      <c r="B75" t="str" cm="1">
        <f t="array" ref="B75">IFERROR(INDEX(Data!$A$8:$A$200, SMALL(IF(ISNUMBER(Data!$A$8:$A$200), ROW(Data!$A$8:$A$200)-MIN(ROW(Data!$A$8:$G$200))+1, ""), ROW(60:60))), "")</f>
        <v/>
      </c>
      <c r="C75" s="9" t="str">
        <f>_xlfn.XLOOKUP($B75,Data!$A$8:$A$200,Data!B$8:B$200,"",2)</f>
        <v/>
      </c>
      <c r="D75" t="str">
        <f>_xlfn.XLOOKUP($B75,Data!$A$8:$A$200,Data!C$8:C$200,"",2)</f>
        <v/>
      </c>
      <c r="E75" t="str">
        <f>_xlfn.XLOOKUP($B75,Data!$A$8:$A$200,Data!D$8:D$200,"",2)</f>
        <v/>
      </c>
      <c r="F75" t="str">
        <f>IF(_xlfn.XLOOKUP($B75,Data!$A$8:$A$200,Data!H$8:H$200,"",2) = 0, "-", _xlfn.XLOOKUP($B75,Data!$A$8:$A$200,Data!H$8:H$200,"",2))</f>
        <v/>
      </c>
      <c r="G75" s="9" t="str">
        <f>_xlfn.XLOOKUP($B75,Data!$A$8:$A$200,Data!E$8:E$200,"",2)</f>
        <v/>
      </c>
      <c r="H75" s="9" t="str">
        <f>_xlfn.XLOOKUP($B75,Data!$A$8:$A$200,Data!F$8:F$200,"",2)</f>
        <v/>
      </c>
      <c r="I75" s="9" t="str">
        <f>_xlfn.XLOOKUP($B75,Data!$A$8:$A$200,Data!G$8:G$200,"",2)</f>
        <v/>
      </c>
    </row>
    <row r="76" spans="2:9" x14ac:dyDescent="0.3">
      <c r="B76" t="str" cm="1">
        <f t="array" ref="B76">IFERROR(INDEX(Data!$A$8:$A$200, SMALL(IF(ISNUMBER(Data!$A$8:$A$200), ROW(Data!$A$8:$A$200)-MIN(ROW(Data!$A$8:$G$200))+1, ""), ROW(61:61))), "")</f>
        <v/>
      </c>
      <c r="C76" s="9" t="str">
        <f>_xlfn.XLOOKUP($B76,Data!$A$8:$A$200,Data!B$8:B$200,"",2)</f>
        <v/>
      </c>
      <c r="D76" t="str">
        <f>_xlfn.XLOOKUP($B76,Data!$A$8:$A$200,Data!C$8:C$200,"",2)</f>
        <v/>
      </c>
      <c r="E76" t="str">
        <f>_xlfn.XLOOKUP($B76,Data!$A$8:$A$200,Data!D$8:D$200,"",2)</f>
        <v/>
      </c>
      <c r="F76" t="str">
        <f>IF(_xlfn.XLOOKUP($B76,Data!$A$8:$A$200,Data!H$8:H$200,"",2) = 0, "-", _xlfn.XLOOKUP($B76,Data!$A$8:$A$200,Data!H$8:H$200,"",2))</f>
        <v/>
      </c>
      <c r="G76" s="9" t="str">
        <f>_xlfn.XLOOKUP($B76,Data!$A$8:$A$200,Data!E$8:E$200,"",2)</f>
        <v/>
      </c>
      <c r="H76" s="9" t="str">
        <f>_xlfn.XLOOKUP($B76,Data!$A$8:$A$200,Data!F$8:F$200,"",2)</f>
        <v/>
      </c>
      <c r="I76" s="9" t="str">
        <f>_xlfn.XLOOKUP($B76,Data!$A$8:$A$200,Data!G$8:G$200,"",2)</f>
        <v/>
      </c>
    </row>
    <row r="77" spans="2:9" x14ac:dyDescent="0.3">
      <c r="B77" t="str" cm="1">
        <f t="array" ref="B77">IFERROR(INDEX(Data!$A$8:$A$200, SMALL(IF(ISNUMBER(Data!$A$8:$A$200), ROW(Data!$A$8:$A$200)-MIN(ROW(Data!$A$8:$G$200))+1, ""), ROW(62:62))), "")</f>
        <v/>
      </c>
      <c r="C77" s="9" t="str">
        <f>_xlfn.XLOOKUP($B77,Data!$A$8:$A$200,Data!B$8:B$200,"",2)</f>
        <v/>
      </c>
      <c r="D77" t="str">
        <f>_xlfn.XLOOKUP($B77,Data!$A$8:$A$200,Data!C$8:C$200,"",2)</f>
        <v/>
      </c>
      <c r="E77" t="str">
        <f>_xlfn.XLOOKUP($B77,Data!$A$8:$A$200,Data!D$8:D$200,"",2)</f>
        <v/>
      </c>
      <c r="F77" t="str">
        <f>IF(_xlfn.XLOOKUP($B77,Data!$A$8:$A$200,Data!H$8:H$200,"",2) = 0, "-", _xlfn.XLOOKUP($B77,Data!$A$8:$A$200,Data!H$8:H$200,"",2))</f>
        <v/>
      </c>
      <c r="G77" s="9" t="str">
        <f>_xlfn.XLOOKUP($B77,Data!$A$8:$A$200,Data!E$8:E$200,"",2)</f>
        <v/>
      </c>
      <c r="H77" s="9" t="str">
        <f>_xlfn.XLOOKUP($B77,Data!$A$8:$A$200,Data!F$8:F$200,"",2)</f>
        <v/>
      </c>
      <c r="I77" s="9" t="str">
        <f>_xlfn.XLOOKUP($B77,Data!$A$8:$A$200,Data!G$8:G$200,"",2)</f>
        <v/>
      </c>
    </row>
    <row r="78" spans="2:9" x14ac:dyDescent="0.3">
      <c r="B78" t="str" cm="1">
        <f t="array" ref="B78">IFERROR(INDEX(Data!$A$8:$A$200, SMALL(IF(ISNUMBER(Data!$A$8:$A$200), ROW(Data!$A$8:$A$200)-MIN(ROW(Data!$A$8:$G$200))+1, ""), ROW(63:63))), "")</f>
        <v/>
      </c>
      <c r="C78" s="9" t="str">
        <f>_xlfn.XLOOKUP($B78,Data!$A$8:$A$200,Data!B$8:B$200,"",2)</f>
        <v/>
      </c>
      <c r="D78" t="str">
        <f>_xlfn.XLOOKUP($B78,Data!$A$8:$A$200,Data!C$8:C$200,"",2)</f>
        <v/>
      </c>
      <c r="E78" t="str">
        <f>_xlfn.XLOOKUP($B78,Data!$A$8:$A$200,Data!D$8:D$200,"",2)</f>
        <v/>
      </c>
      <c r="F78" t="str">
        <f>IF(_xlfn.XLOOKUP($B78,Data!$A$8:$A$200,Data!H$8:H$200,"",2) = 0, "-", _xlfn.XLOOKUP($B78,Data!$A$8:$A$200,Data!H$8:H$200,"",2))</f>
        <v/>
      </c>
      <c r="G78" s="9" t="str">
        <f>_xlfn.XLOOKUP($B78,Data!$A$8:$A$200,Data!E$8:E$200,"",2)</f>
        <v/>
      </c>
      <c r="H78" s="9" t="str">
        <f>_xlfn.XLOOKUP($B78,Data!$A$8:$A$200,Data!F$8:F$200,"",2)</f>
        <v/>
      </c>
      <c r="I78" s="9" t="str">
        <f>_xlfn.XLOOKUP($B78,Data!$A$8:$A$200,Data!G$8:G$200,"",2)</f>
        <v/>
      </c>
    </row>
    <row r="79" spans="2:9" x14ac:dyDescent="0.3">
      <c r="B79" t="str" cm="1">
        <f t="array" ref="B79">IFERROR(INDEX(Data!$A$8:$A$200, SMALL(IF(ISNUMBER(Data!$A$8:$A$200), ROW(Data!$A$8:$A$200)-MIN(ROW(Data!$A$8:$G$200))+1, ""), ROW(64:64))), "")</f>
        <v/>
      </c>
      <c r="C79" s="9" t="str">
        <f>_xlfn.XLOOKUP($B79,Data!$A$8:$A$200,Data!B$8:B$200,"",2)</f>
        <v/>
      </c>
      <c r="D79" t="str">
        <f>_xlfn.XLOOKUP($B79,Data!$A$8:$A$200,Data!C$8:C$200,"",2)</f>
        <v/>
      </c>
      <c r="E79" t="str">
        <f>_xlfn.XLOOKUP($B79,Data!$A$8:$A$200,Data!D$8:D$200,"",2)</f>
        <v/>
      </c>
      <c r="F79" t="str">
        <f>IF(_xlfn.XLOOKUP($B79,Data!$A$8:$A$200,Data!H$8:H$200,"",2) = 0, "-", _xlfn.XLOOKUP($B79,Data!$A$8:$A$200,Data!H$8:H$200,"",2))</f>
        <v/>
      </c>
      <c r="G79" s="9" t="str">
        <f>_xlfn.XLOOKUP($B79,Data!$A$8:$A$200,Data!E$8:E$200,"",2)</f>
        <v/>
      </c>
      <c r="H79" s="9" t="str">
        <f>_xlfn.XLOOKUP($B79,Data!$A$8:$A$200,Data!F$8:F$200,"",2)</f>
        <v/>
      </c>
      <c r="I79" s="9" t="str">
        <f>_xlfn.XLOOKUP($B79,Data!$A$8:$A$200,Data!G$8:G$200,"",2)</f>
        <v/>
      </c>
    </row>
    <row r="80" spans="2:9" x14ac:dyDescent="0.3">
      <c r="B80" t="str" cm="1">
        <f t="array" ref="B80">IFERROR(INDEX(Data!$A$8:$A$200, SMALL(IF(ISNUMBER(Data!$A$8:$A$200), ROW(Data!$A$8:$A$200)-MIN(ROW(Data!$A$8:$G$200))+1, ""), ROW(65:65))), "")</f>
        <v/>
      </c>
      <c r="C80" s="9" t="str">
        <f>_xlfn.XLOOKUP($B80,Data!$A$8:$A$200,Data!B$8:B$200,"",2)</f>
        <v/>
      </c>
      <c r="D80" t="str">
        <f>_xlfn.XLOOKUP($B80,Data!$A$8:$A$200,Data!C$8:C$200,"",2)</f>
        <v/>
      </c>
      <c r="E80" t="str">
        <f>_xlfn.XLOOKUP($B80,Data!$A$8:$A$200,Data!D$8:D$200,"",2)</f>
        <v/>
      </c>
      <c r="F80" t="str">
        <f>IF(_xlfn.XLOOKUP($B80,Data!$A$8:$A$200,Data!H$8:H$200,"",2) = 0, "-", _xlfn.XLOOKUP($B80,Data!$A$8:$A$200,Data!H$8:H$200,"",2))</f>
        <v/>
      </c>
      <c r="G80" s="9" t="str">
        <f>_xlfn.XLOOKUP($B80,Data!$A$8:$A$200,Data!E$8:E$200,"",2)</f>
        <v/>
      </c>
      <c r="H80" s="9" t="str">
        <f>_xlfn.XLOOKUP($B80,Data!$A$8:$A$200,Data!F$8:F$200,"",2)</f>
        <v/>
      </c>
      <c r="I80" s="9" t="str">
        <f>_xlfn.XLOOKUP($B80,Data!$A$8:$A$200,Data!G$8:G$200,"",2)</f>
        <v/>
      </c>
    </row>
    <row r="81" spans="2:9" x14ac:dyDescent="0.3">
      <c r="B81" t="str" cm="1">
        <f t="array" ref="B81">IFERROR(INDEX(Data!$A$8:$A$200, SMALL(IF(ISNUMBER(Data!$A$8:$A$200), ROW(Data!$A$8:$A$200)-MIN(ROW(Data!$A$8:$G$200))+1, ""), ROW(66:66))), "")</f>
        <v/>
      </c>
      <c r="C81" s="9" t="str">
        <f>_xlfn.XLOOKUP($B81,Data!$A$8:$A$200,Data!B$8:B$200,"",2)</f>
        <v/>
      </c>
      <c r="D81" t="str">
        <f>_xlfn.XLOOKUP($B81,Data!$A$8:$A$200,Data!C$8:C$200,"",2)</f>
        <v/>
      </c>
      <c r="E81" t="str">
        <f>_xlfn.XLOOKUP($B81,Data!$A$8:$A$200,Data!D$8:D$200,"",2)</f>
        <v/>
      </c>
      <c r="F81" t="str">
        <f>IF(_xlfn.XLOOKUP($B81,Data!$A$8:$A$200,Data!H$8:H$200,"",2) = 0, "-", _xlfn.XLOOKUP($B81,Data!$A$8:$A$200,Data!H$8:H$200,"",2))</f>
        <v/>
      </c>
      <c r="G81" s="9" t="str">
        <f>_xlfn.XLOOKUP($B81,Data!$A$8:$A$200,Data!E$8:E$200,"",2)</f>
        <v/>
      </c>
      <c r="H81" s="9" t="str">
        <f>_xlfn.XLOOKUP($B81,Data!$A$8:$A$200,Data!F$8:F$200,"",2)</f>
        <v/>
      </c>
      <c r="I81" s="9" t="str">
        <f>_xlfn.XLOOKUP($B81,Data!$A$8:$A$200,Data!G$8:G$200,"",2)</f>
        <v/>
      </c>
    </row>
    <row r="82" spans="2:9" x14ac:dyDescent="0.3">
      <c r="B82" t="str" cm="1">
        <f t="array" ref="B82">IFERROR(INDEX(Data!$A$8:$A$200, SMALL(IF(ISNUMBER(Data!$A$8:$A$200), ROW(Data!$A$8:$A$200)-MIN(ROW(Data!$A$8:$G$200))+1, ""), ROW(67:67))), "")</f>
        <v/>
      </c>
      <c r="C82" s="9" t="str">
        <f>_xlfn.XLOOKUP($B82,Data!$A$8:$A$200,Data!B$8:B$200,"",2)</f>
        <v/>
      </c>
      <c r="D82" t="str">
        <f>_xlfn.XLOOKUP($B82,Data!$A$8:$A$200,Data!C$8:C$200,"",2)</f>
        <v/>
      </c>
      <c r="E82" t="str">
        <f>_xlfn.XLOOKUP($B82,Data!$A$8:$A$200,Data!D$8:D$200,"",2)</f>
        <v/>
      </c>
      <c r="F82" t="str">
        <f>IF(_xlfn.XLOOKUP($B82,Data!$A$8:$A$200,Data!H$8:H$200,"",2) = 0, "-", _xlfn.XLOOKUP($B82,Data!$A$8:$A$200,Data!H$8:H$200,"",2))</f>
        <v/>
      </c>
      <c r="G82" s="9" t="str">
        <f>_xlfn.XLOOKUP($B82,Data!$A$8:$A$200,Data!E$8:E$200,"",2)</f>
        <v/>
      </c>
      <c r="H82" s="9" t="str">
        <f>_xlfn.XLOOKUP($B82,Data!$A$8:$A$200,Data!F$8:F$200,"",2)</f>
        <v/>
      </c>
      <c r="I82" s="9" t="str">
        <f>_xlfn.XLOOKUP($B82,Data!$A$8:$A$200,Data!G$8:G$200,"",2)</f>
        <v/>
      </c>
    </row>
    <row r="83" spans="2:9" x14ac:dyDescent="0.3">
      <c r="B83" t="str" cm="1">
        <f t="array" ref="B83">IFERROR(INDEX(Data!$A$8:$A$200, SMALL(IF(ISNUMBER(Data!$A$8:$A$200), ROW(Data!$A$8:$A$200)-MIN(ROW(Data!$A$8:$G$200))+1, ""), ROW(68:68))), "")</f>
        <v/>
      </c>
      <c r="C83" s="9" t="str">
        <f>_xlfn.XLOOKUP($B83,Data!$A$8:$A$200,Data!B$8:B$200,"",2)</f>
        <v/>
      </c>
      <c r="D83" t="str">
        <f>_xlfn.XLOOKUP($B83,Data!$A$8:$A$200,Data!C$8:C$200,"",2)</f>
        <v/>
      </c>
      <c r="E83" t="str">
        <f>_xlfn.XLOOKUP($B83,Data!$A$8:$A$200,Data!D$8:D$200,"",2)</f>
        <v/>
      </c>
      <c r="F83" t="str">
        <f>IF(_xlfn.XLOOKUP($B83,Data!$A$8:$A$200,Data!H$8:H$200,"",2) = 0, "-", _xlfn.XLOOKUP($B83,Data!$A$8:$A$200,Data!H$8:H$200,"",2))</f>
        <v/>
      </c>
      <c r="G83" s="9" t="str">
        <f>_xlfn.XLOOKUP($B83,Data!$A$8:$A$200,Data!E$8:E$200,"",2)</f>
        <v/>
      </c>
      <c r="H83" s="9" t="str">
        <f>_xlfn.XLOOKUP($B83,Data!$A$8:$A$200,Data!F$8:F$200,"",2)</f>
        <v/>
      </c>
      <c r="I83" s="9" t="str">
        <f>_xlfn.XLOOKUP($B83,Data!$A$8:$A$200,Data!G$8:G$200,"",2)</f>
        <v/>
      </c>
    </row>
    <row r="84" spans="2:9" x14ac:dyDescent="0.3">
      <c r="B84" t="str" cm="1">
        <f t="array" ref="B84">IFERROR(INDEX(Data!$A$8:$A$200, SMALL(IF(ISNUMBER(Data!$A$8:$A$200), ROW(Data!$A$8:$A$200)-MIN(ROW(Data!$A$8:$G$200))+1, ""), ROW(69:69))), "")</f>
        <v/>
      </c>
      <c r="C84" s="9" t="str">
        <f>_xlfn.XLOOKUP($B84,Data!$A$8:$A$200,Data!B$8:B$200,"",2)</f>
        <v/>
      </c>
      <c r="D84" t="str">
        <f>_xlfn.XLOOKUP($B84,Data!$A$8:$A$200,Data!C$8:C$200,"",2)</f>
        <v/>
      </c>
      <c r="E84" t="str">
        <f>_xlfn.XLOOKUP($B84,Data!$A$8:$A$200,Data!D$8:D$200,"",2)</f>
        <v/>
      </c>
      <c r="F84" t="str">
        <f>IF(_xlfn.XLOOKUP($B84,Data!$A$8:$A$200,Data!H$8:H$200,"",2) = 0, "-", _xlfn.XLOOKUP($B84,Data!$A$8:$A$200,Data!H$8:H$200,"",2))</f>
        <v/>
      </c>
      <c r="G84" s="9" t="str">
        <f>_xlfn.XLOOKUP($B84,Data!$A$8:$A$200,Data!E$8:E$200,"",2)</f>
        <v/>
      </c>
      <c r="H84" s="9" t="str">
        <f>_xlfn.XLOOKUP($B84,Data!$A$8:$A$200,Data!F$8:F$200,"",2)</f>
        <v/>
      </c>
      <c r="I84" s="9" t="str">
        <f>_xlfn.XLOOKUP($B84,Data!$A$8:$A$200,Data!G$8:G$200,"",2)</f>
        <v/>
      </c>
    </row>
    <row r="85" spans="2:9" x14ac:dyDescent="0.3">
      <c r="B85" t="str" cm="1">
        <f t="array" ref="B85">IFERROR(INDEX(Data!$A$8:$A$200, SMALL(IF(ISNUMBER(Data!$A$8:$A$200), ROW(Data!$A$8:$A$200)-MIN(ROW(Data!$A$8:$G$200))+1, ""), ROW(70:70))), "")</f>
        <v/>
      </c>
      <c r="C85" s="9" t="str">
        <f>_xlfn.XLOOKUP($B85,Data!$A$8:$A$200,Data!B$8:B$200,"",2)</f>
        <v/>
      </c>
      <c r="D85" t="str">
        <f>_xlfn.XLOOKUP($B85,Data!$A$8:$A$200,Data!C$8:C$200,"",2)</f>
        <v/>
      </c>
      <c r="E85" t="str">
        <f>_xlfn.XLOOKUP($B85,Data!$A$8:$A$200,Data!D$8:D$200,"",2)</f>
        <v/>
      </c>
      <c r="F85" t="str">
        <f>IF(_xlfn.XLOOKUP($B85,Data!$A$8:$A$200,Data!H$8:H$200,"",2) = 0, "-", _xlfn.XLOOKUP($B85,Data!$A$8:$A$200,Data!H$8:H$200,"",2))</f>
        <v/>
      </c>
      <c r="G85" s="9" t="str">
        <f>_xlfn.XLOOKUP($B85,Data!$A$8:$A$200,Data!E$8:E$200,"",2)</f>
        <v/>
      </c>
      <c r="H85" s="9" t="str">
        <f>_xlfn.XLOOKUP($B85,Data!$A$8:$A$200,Data!F$8:F$200,"",2)</f>
        <v/>
      </c>
      <c r="I85" s="9" t="str">
        <f>_xlfn.XLOOKUP($B85,Data!$A$8:$A$200,Data!G$8:G$200,"",2)</f>
        <v/>
      </c>
    </row>
    <row r="86" spans="2:9" x14ac:dyDescent="0.3">
      <c r="B86" t="str" cm="1">
        <f t="array" ref="B86">IFERROR(INDEX(Data!$A$8:$A$200, SMALL(IF(ISNUMBER(Data!$A$8:$A$200), ROW(Data!$A$8:$A$200)-MIN(ROW(Data!$A$8:$G$200))+1, ""), ROW(71:71))), "")</f>
        <v/>
      </c>
      <c r="C86" s="9" t="str">
        <f>_xlfn.XLOOKUP($B86,Data!$A$8:$A$200,Data!B$8:B$200,"",2)</f>
        <v/>
      </c>
      <c r="D86" t="str">
        <f>_xlfn.XLOOKUP($B86,Data!$A$8:$A$200,Data!C$8:C$200,"",2)</f>
        <v/>
      </c>
      <c r="E86" t="str">
        <f>_xlfn.XLOOKUP($B86,Data!$A$8:$A$200,Data!D$8:D$200,"",2)</f>
        <v/>
      </c>
      <c r="F86" t="str">
        <f>IF(_xlfn.XLOOKUP($B86,Data!$A$8:$A$200,Data!H$8:H$200,"",2) = 0, "-", _xlfn.XLOOKUP($B86,Data!$A$8:$A$200,Data!H$8:H$200,"",2))</f>
        <v/>
      </c>
      <c r="G86" s="9" t="str">
        <f>_xlfn.XLOOKUP($B86,Data!$A$8:$A$200,Data!E$8:E$200,"",2)</f>
        <v/>
      </c>
      <c r="H86" s="9" t="str">
        <f>_xlfn.XLOOKUP($B86,Data!$A$8:$A$200,Data!F$8:F$200,"",2)</f>
        <v/>
      </c>
      <c r="I86" s="9" t="str">
        <f>_xlfn.XLOOKUP($B86,Data!$A$8:$A$200,Data!G$8:G$200,"",2)</f>
        <v/>
      </c>
    </row>
    <row r="87" spans="2:9" x14ac:dyDescent="0.3">
      <c r="B87" t="str" cm="1">
        <f t="array" ref="B87">IFERROR(INDEX(Data!$A$8:$A$200, SMALL(IF(ISNUMBER(Data!$A$8:$A$200), ROW(Data!$A$8:$A$200)-MIN(ROW(Data!$A$8:$G$200))+1, ""), ROW(72:72))), "")</f>
        <v/>
      </c>
      <c r="C87" s="9" t="str">
        <f>_xlfn.XLOOKUP($B87,Data!$A$8:$A$200,Data!B$8:B$200,"",2)</f>
        <v/>
      </c>
      <c r="D87" t="str">
        <f>_xlfn.XLOOKUP($B87,Data!$A$8:$A$200,Data!C$8:C$200,"",2)</f>
        <v/>
      </c>
      <c r="E87" t="str">
        <f>_xlfn.XLOOKUP($B87,Data!$A$8:$A$200,Data!D$8:D$200,"",2)</f>
        <v/>
      </c>
      <c r="F87" t="str">
        <f>IF(_xlfn.XLOOKUP($B87,Data!$A$8:$A$200,Data!H$8:H$200,"",2) = 0, "-", _xlfn.XLOOKUP($B87,Data!$A$8:$A$200,Data!H$8:H$200,"",2))</f>
        <v/>
      </c>
      <c r="G87" s="9" t="str">
        <f>_xlfn.XLOOKUP($B87,Data!$A$8:$A$200,Data!E$8:E$200,"",2)</f>
        <v/>
      </c>
      <c r="H87" s="9" t="str">
        <f>_xlfn.XLOOKUP($B87,Data!$A$8:$A$200,Data!F$8:F$200,"",2)</f>
        <v/>
      </c>
      <c r="I87" s="9" t="str">
        <f>_xlfn.XLOOKUP($B87,Data!$A$8:$A$200,Data!G$8:G$200,"",2)</f>
        <v/>
      </c>
    </row>
    <row r="88" spans="2:9" x14ac:dyDescent="0.3">
      <c r="B88" t="str" cm="1">
        <f t="array" ref="B88">IFERROR(INDEX(Data!$A$8:$A$200, SMALL(IF(ISNUMBER(Data!$A$8:$A$200), ROW(Data!$A$8:$A$200)-MIN(ROW(Data!$A$8:$G$200))+1, ""), ROW(73:73))), "")</f>
        <v/>
      </c>
      <c r="C88" s="9" t="str">
        <f>_xlfn.XLOOKUP($B88,Data!$A$8:$A$200,Data!B$8:B$200,"",2)</f>
        <v/>
      </c>
      <c r="D88" t="str">
        <f>_xlfn.XLOOKUP($B88,Data!$A$8:$A$200,Data!C$8:C$200,"",2)</f>
        <v/>
      </c>
      <c r="E88" t="str">
        <f>_xlfn.XLOOKUP($B88,Data!$A$8:$A$200,Data!D$8:D$200,"",2)</f>
        <v/>
      </c>
      <c r="F88" t="str">
        <f>IF(_xlfn.XLOOKUP($B88,Data!$A$8:$A$200,Data!H$8:H$200,"",2) = 0, "-", _xlfn.XLOOKUP($B88,Data!$A$8:$A$200,Data!H$8:H$200,"",2))</f>
        <v/>
      </c>
      <c r="G88" s="9" t="str">
        <f>_xlfn.XLOOKUP($B88,Data!$A$8:$A$200,Data!E$8:E$200,"",2)</f>
        <v/>
      </c>
      <c r="H88" s="9" t="str">
        <f>_xlfn.XLOOKUP($B88,Data!$A$8:$A$200,Data!F$8:F$200,"",2)</f>
        <v/>
      </c>
      <c r="I88" s="9" t="str">
        <f>_xlfn.XLOOKUP($B88,Data!$A$8:$A$200,Data!G$8:G$200,"",2)</f>
        <v/>
      </c>
    </row>
    <row r="89" spans="2:9" x14ac:dyDescent="0.3">
      <c r="B89" t="str" cm="1">
        <f t="array" ref="B89">IFERROR(INDEX(Data!$A$8:$A$200, SMALL(IF(ISNUMBER(Data!$A$8:$A$200), ROW(Data!$A$8:$A$200)-MIN(ROW(Data!$A$8:$G$200))+1, ""), ROW(74:74))), "")</f>
        <v/>
      </c>
      <c r="C89" s="9" t="str">
        <f>_xlfn.XLOOKUP($B89,Data!$A$8:$A$200,Data!B$8:B$200,"",2)</f>
        <v/>
      </c>
      <c r="D89" t="str">
        <f>_xlfn.XLOOKUP($B89,Data!$A$8:$A$200,Data!C$8:C$200,"",2)</f>
        <v/>
      </c>
      <c r="E89" t="str">
        <f>_xlfn.XLOOKUP($B89,Data!$A$8:$A$200,Data!D$8:D$200,"",2)</f>
        <v/>
      </c>
      <c r="F89" t="str">
        <f>IF(_xlfn.XLOOKUP($B89,Data!$A$8:$A$200,Data!H$8:H$200,"",2) = 0, "-", _xlfn.XLOOKUP($B89,Data!$A$8:$A$200,Data!H$8:H$200,"",2))</f>
        <v/>
      </c>
      <c r="G89" s="9" t="str">
        <f>_xlfn.XLOOKUP($B89,Data!$A$8:$A$200,Data!E$8:E$200,"",2)</f>
        <v/>
      </c>
      <c r="H89" s="9" t="str">
        <f>_xlfn.XLOOKUP($B89,Data!$A$8:$A$200,Data!F$8:F$200,"",2)</f>
        <v/>
      </c>
      <c r="I89" s="9" t="str">
        <f>_xlfn.XLOOKUP($B89,Data!$A$8:$A$200,Data!G$8:G$200,"",2)</f>
        <v/>
      </c>
    </row>
    <row r="90" spans="2:9" x14ac:dyDescent="0.3">
      <c r="B90" t="str" cm="1">
        <f t="array" ref="B90">IFERROR(INDEX(Data!$A$8:$A$200, SMALL(IF(ISNUMBER(Data!$A$8:$A$200), ROW(Data!$A$8:$A$200)-MIN(ROW(Data!$A$8:$G$200))+1, ""), ROW(75:75))), "")</f>
        <v/>
      </c>
      <c r="C90" s="9" t="str">
        <f>_xlfn.XLOOKUP($B90,Data!$A$8:$A$200,Data!B$8:B$200,"",2)</f>
        <v/>
      </c>
      <c r="D90" t="str">
        <f>_xlfn.XLOOKUP($B90,Data!$A$8:$A$200,Data!C$8:C$200,"",2)</f>
        <v/>
      </c>
      <c r="E90" t="str">
        <f>_xlfn.XLOOKUP($B90,Data!$A$8:$A$200,Data!D$8:D$200,"",2)</f>
        <v/>
      </c>
      <c r="F90" t="str">
        <f>IF(_xlfn.XLOOKUP($B90,Data!$A$8:$A$200,Data!H$8:H$200,"",2) = 0, "-", _xlfn.XLOOKUP($B90,Data!$A$8:$A$200,Data!H$8:H$200,"",2))</f>
        <v/>
      </c>
      <c r="G90" s="9" t="str">
        <f>_xlfn.XLOOKUP($B90,Data!$A$8:$A$200,Data!E$8:E$200,"",2)</f>
        <v/>
      </c>
      <c r="H90" s="9" t="str">
        <f>_xlfn.XLOOKUP($B90,Data!$A$8:$A$200,Data!F$8:F$200,"",2)</f>
        <v/>
      </c>
      <c r="I90" s="9" t="str">
        <f>_xlfn.XLOOKUP($B90,Data!$A$8:$A$200,Data!G$8:G$200,"",2)</f>
        <v/>
      </c>
    </row>
    <row r="91" spans="2:9" x14ac:dyDescent="0.3">
      <c r="B91" t="str" cm="1">
        <f t="array" ref="B91">IFERROR(INDEX(Data!$A$8:$A$200, SMALL(IF(ISNUMBER(Data!$A$8:$A$200), ROW(Data!$A$8:$A$200)-MIN(ROW(Data!$A$8:$G$200))+1, ""), ROW(76:76))), "")</f>
        <v/>
      </c>
      <c r="C91" s="9" t="str">
        <f>_xlfn.XLOOKUP($B91,Data!$A$8:$A$200,Data!B$8:B$200,"",2)</f>
        <v/>
      </c>
      <c r="D91" t="str">
        <f>_xlfn.XLOOKUP($B91,Data!$A$8:$A$200,Data!C$8:C$200,"",2)</f>
        <v/>
      </c>
      <c r="E91" t="str">
        <f>_xlfn.XLOOKUP($B91,Data!$A$8:$A$200,Data!D$8:D$200,"",2)</f>
        <v/>
      </c>
      <c r="F91" t="str">
        <f>IF(_xlfn.XLOOKUP($B91,Data!$A$8:$A$200,Data!H$8:H$200,"",2) = 0, "-", _xlfn.XLOOKUP($B91,Data!$A$8:$A$200,Data!H$8:H$200,"",2))</f>
        <v/>
      </c>
      <c r="G91" s="9" t="str">
        <f>_xlfn.XLOOKUP($B91,Data!$A$8:$A$200,Data!E$8:E$200,"",2)</f>
        <v/>
      </c>
      <c r="H91" s="9" t="str">
        <f>_xlfn.XLOOKUP($B91,Data!$A$8:$A$200,Data!F$8:F$200,"",2)</f>
        <v/>
      </c>
      <c r="I91" s="9" t="str">
        <f>_xlfn.XLOOKUP($B91,Data!$A$8:$A$200,Data!G$8:G$200,"",2)</f>
        <v/>
      </c>
    </row>
    <row r="92" spans="2:9" x14ac:dyDescent="0.3">
      <c r="B92" t="str" cm="1">
        <f t="array" ref="B92">IFERROR(INDEX(Data!$A$8:$A$200, SMALL(IF(ISNUMBER(Data!$A$8:$A$200), ROW(Data!$A$8:$A$200)-MIN(ROW(Data!$A$8:$G$200))+1, ""), ROW(77:77))), "")</f>
        <v/>
      </c>
      <c r="C92" s="9" t="str">
        <f>_xlfn.XLOOKUP($B92,Data!$A$8:$A$200,Data!B$8:B$200,"",2)</f>
        <v/>
      </c>
      <c r="D92" t="str">
        <f>_xlfn.XLOOKUP($B92,Data!$A$8:$A$200,Data!C$8:C$200,"",2)</f>
        <v/>
      </c>
      <c r="E92" t="str">
        <f>_xlfn.XLOOKUP($B92,Data!$A$8:$A$200,Data!D$8:D$200,"",2)</f>
        <v/>
      </c>
      <c r="F92" t="str">
        <f>IF(_xlfn.XLOOKUP($B92,Data!$A$8:$A$200,Data!H$8:H$200,"",2) = 0, "-", _xlfn.XLOOKUP($B92,Data!$A$8:$A$200,Data!H$8:H$200,"",2))</f>
        <v/>
      </c>
      <c r="G92" s="9" t="str">
        <f>_xlfn.XLOOKUP($B92,Data!$A$8:$A$200,Data!E$8:E$200,"",2)</f>
        <v/>
      </c>
      <c r="H92" s="9" t="str">
        <f>_xlfn.XLOOKUP($B92,Data!$A$8:$A$200,Data!F$8:F$200,"",2)</f>
        <v/>
      </c>
      <c r="I92" s="9" t="str">
        <f>_xlfn.XLOOKUP($B92,Data!$A$8:$A$200,Data!G$8:G$200,"",2)</f>
        <v/>
      </c>
    </row>
    <row r="93" spans="2:9" x14ac:dyDescent="0.3">
      <c r="B93" t="str" cm="1">
        <f t="array" ref="B93">IFERROR(INDEX(Data!$A$8:$A$200, SMALL(IF(ISNUMBER(Data!$A$8:$A$200), ROW(Data!$A$8:$A$200)-MIN(ROW(Data!$A$8:$G$200))+1, ""), ROW(78:78))), "")</f>
        <v/>
      </c>
      <c r="C93" s="9" t="str">
        <f>_xlfn.XLOOKUP($B93,Data!$A$8:$A$200,Data!B$8:B$200,"",2)</f>
        <v/>
      </c>
      <c r="D93" t="str">
        <f>_xlfn.XLOOKUP($B93,Data!$A$8:$A$200,Data!C$8:C$200,"",2)</f>
        <v/>
      </c>
      <c r="E93" t="str">
        <f>_xlfn.XLOOKUP($B93,Data!$A$8:$A$200,Data!D$8:D$200,"",2)</f>
        <v/>
      </c>
      <c r="F93" t="str">
        <f>IF(_xlfn.XLOOKUP($B93,Data!$A$8:$A$200,Data!H$8:H$200,"",2) = 0, "-", _xlfn.XLOOKUP($B93,Data!$A$8:$A$200,Data!H$8:H$200,"",2))</f>
        <v/>
      </c>
      <c r="G93" s="9" t="str">
        <f>_xlfn.XLOOKUP($B93,Data!$A$8:$A$200,Data!E$8:E$200,"",2)</f>
        <v/>
      </c>
      <c r="H93" s="9" t="str">
        <f>_xlfn.XLOOKUP($B93,Data!$A$8:$A$200,Data!F$8:F$200,"",2)</f>
        <v/>
      </c>
      <c r="I93" s="9" t="str">
        <f>_xlfn.XLOOKUP($B93,Data!$A$8:$A$200,Data!G$8:G$200,"",2)</f>
        <v/>
      </c>
    </row>
    <row r="94" spans="2:9" x14ac:dyDescent="0.3">
      <c r="B94" t="str" cm="1">
        <f t="array" ref="B94">IFERROR(INDEX(Data!$A$8:$A$200, SMALL(IF(ISNUMBER(Data!$A$8:$A$200), ROW(Data!$A$8:$A$200)-MIN(ROW(Data!$A$8:$G$200))+1, ""), ROW(79:79))), "")</f>
        <v/>
      </c>
      <c r="C94" s="9" t="str">
        <f>_xlfn.XLOOKUP($B94,Data!$A$8:$A$200,Data!B$8:B$200,"",2)</f>
        <v/>
      </c>
      <c r="D94" t="str">
        <f>_xlfn.XLOOKUP($B94,Data!$A$8:$A$200,Data!C$8:C$200,"",2)</f>
        <v/>
      </c>
      <c r="E94" t="str">
        <f>_xlfn.XLOOKUP($B94,Data!$A$8:$A$200,Data!D$8:D$200,"",2)</f>
        <v/>
      </c>
      <c r="F94" t="str">
        <f>IF(_xlfn.XLOOKUP($B94,Data!$A$8:$A$200,Data!H$8:H$200,"",2) = 0, "-", _xlfn.XLOOKUP($B94,Data!$A$8:$A$200,Data!H$8:H$200,"",2))</f>
        <v/>
      </c>
      <c r="G94" s="9" t="str">
        <f>_xlfn.XLOOKUP($B94,Data!$A$8:$A$200,Data!E$8:E$200,"",2)</f>
        <v/>
      </c>
      <c r="H94" s="9" t="str">
        <f>_xlfn.XLOOKUP($B94,Data!$A$8:$A$200,Data!F$8:F$200,"",2)</f>
        <v/>
      </c>
      <c r="I94" s="9" t="str">
        <f>_xlfn.XLOOKUP($B94,Data!$A$8:$A$200,Data!G$8:G$200,"",2)</f>
        <v/>
      </c>
    </row>
    <row r="95" spans="2:9" x14ac:dyDescent="0.3">
      <c r="B95" t="str" cm="1">
        <f t="array" ref="B95">IFERROR(INDEX(Data!$A$8:$A$200, SMALL(IF(ISNUMBER(Data!$A$8:$A$200), ROW(Data!$A$8:$A$200)-MIN(ROW(Data!$A$8:$G$200))+1, ""), ROW(80:80))), "")</f>
        <v/>
      </c>
      <c r="C95" s="9" t="str">
        <f>_xlfn.XLOOKUP($B95,Data!$A$8:$A$200,Data!B$8:B$200,"",2)</f>
        <v/>
      </c>
      <c r="D95" t="str">
        <f>_xlfn.XLOOKUP($B95,Data!$A$8:$A$200,Data!C$8:C$200,"",2)</f>
        <v/>
      </c>
      <c r="E95" t="str">
        <f>_xlfn.XLOOKUP($B95,Data!$A$8:$A$200,Data!D$8:D$200,"",2)</f>
        <v/>
      </c>
      <c r="F95" t="str">
        <f>IF(_xlfn.XLOOKUP($B95,Data!$A$8:$A$200,Data!H$8:H$200,"",2) = 0, "-", _xlfn.XLOOKUP($B95,Data!$A$8:$A$200,Data!H$8:H$200,"",2))</f>
        <v/>
      </c>
      <c r="G95" s="9" t="str">
        <f>_xlfn.XLOOKUP($B95,Data!$A$8:$A$200,Data!E$8:E$200,"",2)</f>
        <v/>
      </c>
      <c r="H95" s="9" t="str">
        <f>_xlfn.XLOOKUP($B95,Data!$A$8:$A$200,Data!F$8:F$200,"",2)</f>
        <v/>
      </c>
      <c r="I95" s="9" t="str">
        <f>_xlfn.XLOOKUP($B95,Data!$A$8:$A$200,Data!G$8:G$200,"",2)</f>
        <v/>
      </c>
    </row>
    <row r="96" spans="2:9" x14ac:dyDescent="0.3">
      <c r="B96" t="str" cm="1">
        <f t="array" ref="B96">IFERROR(INDEX(Data!$A$8:$A$200, SMALL(IF(ISNUMBER(Data!$A$8:$A$200), ROW(Data!$A$8:$A$200)-MIN(ROW(Data!$A$8:$G$200))+1, ""), ROW(81:81))), "")</f>
        <v/>
      </c>
      <c r="C96" s="9" t="str">
        <f>_xlfn.XLOOKUP($B96,Data!$A$8:$A$200,Data!B$8:B$200,"",2)</f>
        <v/>
      </c>
      <c r="D96" t="str">
        <f>_xlfn.XLOOKUP($B96,Data!$A$8:$A$200,Data!C$8:C$200,"",2)</f>
        <v/>
      </c>
      <c r="E96" t="str">
        <f>_xlfn.XLOOKUP($B96,Data!$A$8:$A$200,Data!D$8:D$200,"",2)</f>
        <v/>
      </c>
      <c r="F96" t="str">
        <f>IF(_xlfn.XLOOKUP($B96,Data!$A$8:$A$200,Data!H$8:H$200,"",2) = 0, "-", _xlfn.XLOOKUP($B96,Data!$A$8:$A$200,Data!H$8:H$200,"",2))</f>
        <v/>
      </c>
      <c r="G96" s="9" t="str">
        <f>_xlfn.XLOOKUP($B96,Data!$A$8:$A$200,Data!E$8:E$200,"",2)</f>
        <v/>
      </c>
      <c r="H96" s="9" t="str">
        <f>_xlfn.XLOOKUP($B96,Data!$A$8:$A$200,Data!F$8:F$200,"",2)</f>
        <v/>
      </c>
      <c r="I96" s="9" t="str">
        <f>_xlfn.XLOOKUP($B96,Data!$A$8:$A$200,Data!G$8:G$200,"",2)</f>
        <v/>
      </c>
    </row>
    <row r="97" spans="2:9" x14ac:dyDescent="0.3">
      <c r="B97" t="str" cm="1">
        <f t="array" ref="B97">IFERROR(INDEX(Data!$A$8:$A$200, SMALL(IF(ISNUMBER(Data!$A$8:$A$200), ROW(Data!$A$8:$A$200)-MIN(ROW(Data!$A$8:$G$200))+1, ""), ROW(82:82))), "")</f>
        <v/>
      </c>
      <c r="C97" s="9" t="str">
        <f>_xlfn.XLOOKUP($B97,Data!$A$8:$A$200,Data!B$8:B$200,"",2)</f>
        <v/>
      </c>
      <c r="D97" t="str">
        <f>_xlfn.XLOOKUP($B97,Data!$A$8:$A$200,Data!C$8:C$200,"",2)</f>
        <v/>
      </c>
      <c r="E97" t="str">
        <f>_xlfn.XLOOKUP($B97,Data!$A$8:$A$200,Data!D$8:D$200,"",2)</f>
        <v/>
      </c>
      <c r="F97" t="str">
        <f>IF(_xlfn.XLOOKUP($B97,Data!$A$8:$A$200,Data!H$8:H$200,"",2) = 0, "-", _xlfn.XLOOKUP($B97,Data!$A$8:$A$200,Data!H$8:H$200,"",2))</f>
        <v/>
      </c>
      <c r="G97" s="9" t="str">
        <f>_xlfn.XLOOKUP($B97,Data!$A$8:$A$200,Data!E$8:E$200,"",2)</f>
        <v/>
      </c>
      <c r="H97" s="9" t="str">
        <f>_xlfn.XLOOKUP($B97,Data!$A$8:$A$200,Data!F$8:F$200,"",2)</f>
        <v/>
      </c>
      <c r="I97" s="9" t="str">
        <f>_xlfn.XLOOKUP($B97,Data!$A$8:$A$200,Data!G$8:G$200,"",2)</f>
        <v/>
      </c>
    </row>
    <row r="98" spans="2:9" x14ac:dyDescent="0.3">
      <c r="B98" t="str" cm="1">
        <f t="array" ref="B98">IFERROR(INDEX(Data!$A$8:$A$200, SMALL(IF(ISNUMBER(Data!$A$8:$A$200), ROW(Data!$A$8:$A$200)-MIN(ROW(Data!$A$8:$G$200))+1, ""), ROW(83:83))), "")</f>
        <v/>
      </c>
      <c r="C98" s="9" t="str">
        <f>_xlfn.XLOOKUP($B98,Data!$A$8:$A$200,Data!B$8:B$200,"",2)</f>
        <v/>
      </c>
      <c r="D98" t="str">
        <f>_xlfn.XLOOKUP($B98,Data!$A$8:$A$200,Data!C$8:C$200,"",2)</f>
        <v/>
      </c>
      <c r="E98" t="str">
        <f>_xlfn.XLOOKUP($B98,Data!$A$8:$A$200,Data!D$8:D$200,"",2)</f>
        <v/>
      </c>
      <c r="F98" t="str">
        <f>IF(_xlfn.XLOOKUP($B98,Data!$A$8:$A$200,Data!H$8:H$200,"",2) = 0, "-", _xlfn.XLOOKUP($B98,Data!$A$8:$A$200,Data!H$8:H$200,"",2))</f>
        <v/>
      </c>
      <c r="G98" s="9" t="str">
        <f>_xlfn.XLOOKUP($B98,Data!$A$8:$A$200,Data!E$8:E$200,"",2)</f>
        <v/>
      </c>
      <c r="H98" s="9" t="str">
        <f>_xlfn.XLOOKUP($B98,Data!$A$8:$A$200,Data!F$8:F$200,"",2)</f>
        <v/>
      </c>
      <c r="I98" s="9" t="str">
        <f>_xlfn.XLOOKUP($B98,Data!$A$8:$A$200,Data!G$8:G$200,"",2)</f>
        <v/>
      </c>
    </row>
    <row r="99" spans="2:9" x14ac:dyDescent="0.3">
      <c r="B99" t="str" cm="1">
        <f t="array" ref="B99">IFERROR(INDEX(Data!$A$8:$A$200, SMALL(IF(ISNUMBER(Data!$A$8:$A$200), ROW(Data!$A$8:$A$200)-MIN(ROW(Data!$A$8:$G$200))+1, ""), ROW(84:84))), "")</f>
        <v/>
      </c>
      <c r="C99" s="9" t="str">
        <f>_xlfn.XLOOKUP($B99,Data!$A$8:$A$200,Data!B$8:B$200,"",2)</f>
        <v/>
      </c>
      <c r="D99" t="str">
        <f>_xlfn.XLOOKUP($B99,Data!$A$8:$A$200,Data!C$8:C$200,"",2)</f>
        <v/>
      </c>
      <c r="E99" t="str">
        <f>_xlfn.XLOOKUP($B99,Data!$A$8:$A$200,Data!D$8:D$200,"",2)</f>
        <v/>
      </c>
      <c r="F99" t="str">
        <f>IF(_xlfn.XLOOKUP($B99,Data!$A$8:$A$200,Data!H$8:H$200,"",2) = 0, "-", _xlfn.XLOOKUP($B99,Data!$A$8:$A$200,Data!H$8:H$200,"",2))</f>
        <v/>
      </c>
      <c r="G99" s="9" t="str">
        <f>_xlfn.XLOOKUP($B99,Data!$A$8:$A$200,Data!E$8:E$200,"",2)</f>
        <v/>
      </c>
      <c r="H99" s="9" t="str">
        <f>_xlfn.XLOOKUP($B99,Data!$A$8:$A$200,Data!F$8:F$200,"",2)</f>
        <v/>
      </c>
      <c r="I99" s="9" t="str">
        <f>_xlfn.XLOOKUP($B99,Data!$A$8:$A$200,Data!G$8:G$200,"",2)</f>
        <v/>
      </c>
    </row>
    <row r="100" spans="2:9" x14ac:dyDescent="0.3">
      <c r="B100" t="str" cm="1">
        <f t="array" ref="B100">IFERROR(INDEX(Data!$A$8:$A$200, SMALL(IF(ISNUMBER(Data!$A$8:$A$200), ROW(Data!$A$8:$A$200)-MIN(ROW(Data!$A$8:$G$200))+1, ""), ROW(85:85))), "")</f>
        <v/>
      </c>
      <c r="C100" s="9" t="str">
        <f>_xlfn.XLOOKUP($B100,Data!$A$8:$A$200,Data!B$8:B$200,"",2)</f>
        <v/>
      </c>
      <c r="D100" t="str">
        <f>_xlfn.XLOOKUP($B100,Data!$A$8:$A$200,Data!C$8:C$200,"",2)</f>
        <v/>
      </c>
      <c r="E100" t="str">
        <f>_xlfn.XLOOKUP($B100,Data!$A$8:$A$200,Data!D$8:D$200,"",2)</f>
        <v/>
      </c>
      <c r="F100" t="str">
        <f>IF(_xlfn.XLOOKUP($B100,Data!$A$8:$A$200,Data!H$8:H$200,"",2) = 0, "-", _xlfn.XLOOKUP($B100,Data!$A$8:$A$200,Data!H$8:H$200,"",2))</f>
        <v/>
      </c>
      <c r="G100" s="9" t="str">
        <f>_xlfn.XLOOKUP($B100,Data!$A$8:$A$200,Data!E$8:E$200,"",2)</f>
        <v/>
      </c>
      <c r="H100" s="9" t="str">
        <f>_xlfn.XLOOKUP($B100,Data!$A$8:$A$200,Data!F$8:F$200,"",2)</f>
        <v/>
      </c>
      <c r="I100" s="9" t="str">
        <f>_xlfn.XLOOKUP($B100,Data!$A$8:$A$200,Data!G$8:G$200,"",2)</f>
        <v/>
      </c>
    </row>
    <row r="101" spans="2:9" x14ac:dyDescent="0.3">
      <c r="B101" t="str" cm="1">
        <f t="array" ref="B101">IFERROR(INDEX(Data!$A$8:$A$200, SMALL(IF(ISNUMBER(Data!$A$8:$A$200), ROW(Data!$A$8:$A$200)-MIN(ROW(Data!$A$8:$G$200))+1, ""), ROW(86:86))), "")</f>
        <v/>
      </c>
      <c r="C101" s="9" t="str">
        <f>_xlfn.XLOOKUP($B101,Data!$A$8:$A$200,Data!B$8:B$200,"",2)</f>
        <v/>
      </c>
      <c r="D101" t="str">
        <f>_xlfn.XLOOKUP($B101,Data!$A$8:$A$200,Data!C$8:C$200,"",2)</f>
        <v/>
      </c>
      <c r="E101" t="str">
        <f>_xlfn.XLOOKUP($B101,Data!$A$8:$A$200,Data!D$8:D$200,"",2)</f>
        <v/>
      </c>
      <c r="F101" t="str">
        <f>IF(_xlfn.XLOOKUP($B101,Data!$A$8:$A$200,Data!H$8:H$200,"",2) = 0, "-", _xlfn.XLOOKUP($B101,Data!$A$8:$A$200,Data!H$8:H$200,"",2))</f>
        <v/>
      </c>
      <c r="G101" s="9" t="str">
        <f>_xlfn.XLOOKUP($B101,Data!$A$8:$A$200,Data!E$8:E$200,"",2)</f>
        <v/>
      </c>
      <c r="H101" s="9" t="str">
        <f>_xlfn.XLOOKUP($B101,Data!$A$8:$A$200,Data!F$8:F$200,"",2)</f>
        <v/>
      </c>
      <c r="I101" s="9" t="str">
        <f>_xlfn.XLOOKUP($B101,Data!$A$8:$A$200,Data!G$8:G$200,"",2)</f>
        <v/>
      </c>
    </row>
    <row r="102" spans="2:9" x14ac:dyDescent="0.3">
      <c r="B102" t="str" cm="1">
        <f t="array" ref="B102">IFERROR(INDEX(Data!$A$8:$A$200, SMALL(IF(ISNUMBER(Data!$A$8:$A$200), ROW(Data!$A$8:$A$200)-MIN(ROW(Data!$A$8:$G$200))+1, ""), ROW(87:87))), "")</f>
        <v/>
      </c>
      <c r="C102" s="9" t="str">
        <f>_xlfn.XLOOKUP($B102,Data!$A$8:$A$200,Data!B$8:B$200,"",2)</f>
        <v/>
      </c>
      <c r="D102" t="str">
        <f>_xlfn.XLOOKUP($B102,Data!$A$8:$A$200,Data!C$8:C$200,"",2)</f>
        <v/>
      </c>
      <c r="E102" t="str">
        <f>_xlfn.XLOOKUP($B102,Data!$A$8:$A$200,Data!D$8:D$200,"",2)</f>
        <v/>
      </c>
      <c r="F102" t="str">
        <f>IF(_xlfn.XLOOKUP($B102,Data!$A$8:$A$200,Data!H$8:H$200,"",2) = 0, "-", _xlfn.XLOOKUP($B102,Data!$A$8:$A$200,Data!H$8:H$200,"",2))</f>
        <v/>
      </c>
      <c r="G102" s="9" t="str">
        <f>_xlfn.XLOOKUP($B102,Data!$A$8:$A$200,Data!E$8:E$200,"",2)</f>
        <v/>
      </c>
      <c r="H102" s="9" t="str">
        <f>_xlfn.XLOOKUP($B102,Data!$A$8:$A$200,Data!F$8:F$200,"",2)</f>
        <v/>
      </c>
      <c r="I102" s="9" t="str">
        <f>_xlfn.XLOOKUP($B102,Data!$A$8:$A$200,Data!G$8:G$200,"",2)</f>
        <v/>
      </c>
    </row>
    <row r="103" spans="2:9" x14ac:dyDescent="0.3">
      <c r="B103" t="str" cm="1">
        <f t="array" ref="B103">IFERROR(INDEX(Data!$A$8:$A$200, SMALL(IF(ISNUMBER(Data!$A$8:$A$200), ROW(Data!$A$8:$A$200)-MIN(ROW(Data!$A$8:$G$200))+1, ""), ROW(88:88))), "")</f>
        <v/>
      </c>
      <c r="C103" s="9" t="str">
        <f>_xlfn.XLOOKUP($B103,Data!$A$8:$A$200,Data!B$8:B$200,"",2)</f>
        <v/>
      </c>
      <c r="D103" t="str">
        <f>_xlfn.XLOOKUP($B103,Data!$A$8:$A$200,Data!C$8:C$200,"",2)</f>
        <v/>
      </c>
      <c r="E103" t="str">
        <f>_xlfn.XLOOKUP($B103,Data!$A$8:$A$200,Data!D$8:D$200,"",2)</f>
        <v/>
      </c>
      <c r="F103" t="str">
        <f>IF(_xlfn.XLOOKUP($B103,Data!$A$8:$A$200,Data!H$8:H$200,"",2) = 0, "-", _xlfn.XLOOKUP($B103,Data!$A$8:$A$200,Data!H$8:H$200,"",2))</f>
        <v/>
      </c>
      <c r="G103" s="9" t="str">
        <f>_xlfn.XLOOKUP($B103,Data!$A$8:$A$200,Data!E$8:E$200,"",2)</f>
        <v/>
      </c>
      <c r="H103" s="9" t="str">
        <f>_xlfn.XLOOKUP($B103,Data!$A$8:$A$200,Data!F$8:F$200,"",2)</f>
        <v/>
      </c>
      <c r="I103" s="9" t="str">
        <f>_xlfn.XLOOKUP($B103,Data!$A$8:$A$200,Data!G$8:G$200,"",2)</f>
        <v/>
      </c>
    </row>
    <row r="104" spans="2:9" x14ac:dyDescent="0.3">
      <c r="B104" t="str" cm="1">
        <f t="array" ref="B104">IFERROR(INDEX(Data!$A$8:$A$200, SMALL(IF(ISNUMBER(Data!$A$8:$A$200), ROW(Data!$A$8:$A$200)-MIN(ROW(Data!$A$8:$G$200))+1, ""), ROW(89:89))), "")</f>
        <v/>
      </c>
      <c r="C104" s="9" t="str">
        <f>_xlfn.XLOOKUP($B104,Data!$A$8:$A$200,Data!B$8:B$200,"",2)</f>
        <v/>
      </c>
      <c r="D104" t="str">
        <f>_xlfn.XLOOKUP($B104,Data!$A$8:$A$200,Data!C$8:C$200,"",2)</f>
        <v/>
      </c>
      <c r="E104" t="str">
        <f>_xlfn.XLOOKUP($B104,Data!$A$8:$A$200,Data!D$8:D$200,"",2)</f>
        <v/>
      </c>
      <c r="F104" t="str">
        <f>IF(_xlfn.XLOOKUP($B104,Data!$A$8:$A$200,Data!H$8:H$200,"",2) = 0, "-", _xlfn.XLOOKUP($B104,Data!$A$8:$A$200,Data!H$8:H$200,"",2))</f>
        <v/>
      </c>
      <c r="G104" s="9" t="str">
        <f>_xlfn.XLOOKUP($B104,Data!$A$8:$A$200,Data!E$8:E$200,"",2)</f>
        <v/>
      </c>
      <c r="H104" s="9" t="str">
        <f>_xlfn.XLOOKUP($B104,Data!$A$8:$A$200,Data!F$8:F$200,"",2)</f>
        <v/>
      </c>
      <c r="I104" s="9" t="str">
        <f>_xlfn.XLOOKUP($B104,Data!$A$8:$A$200,Data!G$8:G$200,"",2)</f>
        <v/>
      </c>
    </row>
    <row r="105" spans="2:9" x14ac:dyDescent="0.3">
      <c r="B105" t="str" cm="1">
        <f t="array" ref="B105">IFERROR(INDEX(Data!$A$8:$A$200, SMALL(IF(ISNUMBER(Data!$A$8:$A$200), ROW(Data!$A$8:$A$200)-MIN(ROW(Data!$A$8:$G$200))+1, ""), ROW(90:90))), "")</f>
        <v/>
      </c>
      <c r="C105" s="9" t="str">
        <f>_xlfn.XLOOKUP($B105,Data!$A$8:$A$200,Data!B$8:B$200,"",2)</f>
        <v/>
      </c>
      <c r="D105" t="str">
        <f>_xlfn.XLOOKUP($B105,Data!$A$8:$A$200,Data!C$8:C$200,"",2)</f>
        <v/>
      </c>
      <c r="E105" t="str">
        <f>_xlfn.XLOOKUP($B105,Data!$A$8:$A$200,Data!D$8:D$200,"",2)</f>
        <v/>
      </c>
      <c r="F105" t="str">
        <f>IF(_xlfn.XLOOKUP($B105,Data!$A$8:$A$200,Data!H$8:H$200,"",2) = 0, "-", _xlfn.XLOOKUP($B105,Data!$A$8:$A$200,Data!H$8:H$200,"",2))</f>
        <v/>
      </c>
      <c r="G105" s="9" t="str">
        <f>_xlfn.XLOOKUP($B105,Data!$A$8:$A$200,Data!E$8:E$200,"",2)</f>
        <v/>
      </c>
      <c r="H105" s="9" t="str">
        <f>_xlfn.XLOOKUP($B105,Data!$A$8:$A$200,Data!F$8:F$200,"",2)</f>
        <v/>
      </c>
      <c r="I105" s="9" t="str">
        <f>_xlfn.XLOOKUP($B105,Data!$A$8:$A$200,Data!G$8:G$200,"",2)</f>
        <v/>
      </c>
    </row>
    <row r="106" spans="2:9" x14ac:dyDescent="0.3">
      <c r="B106" t="str" cm="1">
        <f t="array" ref="B106">IFERROR(INDEX(Data!$A$8:$A$200, SMALL(IF(ISNUMBER(Data!$A$8:$A$200), ROW(Data!$A$8:$A$200)-MIN(ROW(Data!$A$8:$G$200))+1, ""), ROW(91:91))), "")</f>
        <v/>
      </c>
      <c r="C106" s="9" t="str">
        <f>_xlfn.XLOOKUP($B106,Data!$A$8:$A$200,Data!B$8:B$200,"",2)</f>
        <v/>
      </c>
      <c r="D106" t="str">
        <f>_xlfn.XLOOKUP($B106,Data!$A$8:$A$200,Data!C$8:C$200,"",2)</f>
        <v/>
      </c>
      <c r="E106" t="str">
        <f>_xlfn.XLOOKUP($B106,Data!$A$8:$A$200,Data!D$8:D$200,"",2)</f>
        <v/>
      </c>
      <c r="F106" t="str">
        <f>IF(_xlfn.XLOOKUP($B106,Data!$A$8:$A$200,Data!H$8:H$200,"",2) = 0, "-", _xlfn.XLOOKUP($B106,Data!$A$8:$A$200,Data!H$8:H$200,"",2))</f>
        <v/>
      </c>
      <c r="G106" s="9" t="str">
        <f>_xlfn.XLOOKUP($B106,Data!$A$8:$A$200,Data!E$8:E$200,"",2)</f>
        <v/>
      </c>
      <c r="H106" s="9" t="str">
        <f>_xlfn.XLOOKUP($B106,Data!$A$8:$A$200,Data!F$8:F$200,"",2)</f>
        <v/>
      </c>
      <c r="I106" s="9" t="str">
        <f>_xlfn.XLOOKUP($B106,Data!$A$8:$A$200,Data!G$8:G$200,"",2)</f>
        <v/>
      </c>
    </row>
    <row r="107" spans="2:9" x14ac:dyDescent="0.3">
      <c r="B107" t="str" cm="1">
        <f t="array" ref="B107">IFERROR(INDEX(Data!$A$8:$A$200, SMALL(IF(ISNUMBER(Data!$A$8:$A$200), ROW(Data!$A$8:$A$200)-MIN(ROW(Data!$A$8:$G$200))+1, ""), ROW(92:92))), "")</f>
        <v/>
      </c>
      <c r="C107" s="9" t="str">
        <f>_xlfn.XLOOKUP($B107,Data!$A$8:$A$200,Data!B$8:B$200,"",2)</f>
        <v/>
      </c>
      <c r="D107" t="str">
        <f>_xlfn.XLOOKUP($B107,Data!$A$8:$A$200,Data!C$8:C$200,"",2)</f>
        <v/>
      </c>
      <c r="E107" t="str">
        <f>_xlfn.XLOOKUP($B107,Data!$A$8:$A$200,Data!D$8:D$200,"",2)</f>
        <v/>
      </c>
      <c r="F107" t="str">
        <f>IF(_xlfn.XLOOKUP($B107,Data!$A$8:$A$200,Data!H$8:H$200,"",2) = 0, "-", _xlfn.XLOOKUP($B107,Data!$A$8:$A$200,Data!H$8:H$200,"",2))</f>
        <v/>
      </c>
      <c r="G107" s="9" t="str">
        <f>_xlfn.XLOOKUP($B107,Data!$A$8:$A$200,Data!E$8:E$200,"",2)</f>
        <v/>
      </c>
      <c r="H107" s="9" t="str">
        <f>_xlfn.XLOOKUP($B107,Data!$A$8:$A$200,Data!F$8:F$200,"",2)</f>
        <v/>
      </c>
      <c r="I107" s="9" t="str">
        <f>_xlfn.XLOOKUP($B107,Data!$A$8:$A$200,Data!G$8:G$200,"",2)</f>
        <v/>
      </c>
    </row>
    <row r="108" spans="2:9" x14ac:dyDescent="0.3">
      <c r="B108" t="str" cm="1">
        <f t="array" ref="B108">IFERROR(INDEX(Data!$A$8:$A$200, SMALL(IF(ISNUMBER(Data!$A$8:$A$200), ROW(Data!$A$8:$A$200)-MIN(ROW(Data!$A$8:$G$200))+1, ""), ROW(93:93))), "")</f>
        <v/>
      </c>
      <c r="C108" s="9" t="str">
        <f>_xlfn.XLOOKUP($B108,Data!$A$8:$A$200,Data!B$8:B$200,"",2)</f>
        <v/>
      </c>
      <c r="D108" t="str">
        <f>_xlfn.XLOOKUP($B108,Data!$A$8:$A$200,Data!C$8:C$200,"",2)</f>
        <v/>
      </c>
      <c r="E108" t="str">
        <f>_xlfn.XLOOKUP($B108,Data!$A$8:$A$200,Data!D$8:D$200,"",2)</f>
        <v/>
      </c>
      <c r="F108" t="str">
        <f>IF(_xlfn.XLOOKUP($B108,Data!$A$8:$A$200,Data!H$8:H$200,"",2) = 0, "-", _xlfn.XLOOKUP($B108,Data!$A$8:$A$200,Data!H$8:H$200,"",2))</f>
        <v/>
      </c>
      <c r="G108" s="9" t="str">
        <f>_xlfn.XLOOKUP($B108,Data!$A$8:$A$200,Data!E$8:E$200,"",2)</f>
        <v/>
      </c>
      <c r="H108" s="9" t="str">
        <f>_xlfn.XLOOKUP($B108,Data!$A$8:$A$200,Data!F$8:F$200,"",2)</f>
        <v/>
      </c>
      <c r="I108" s="9" t="str">
        <f>_xlfn.XLOOKUP($B108,Data!$A$8:$A$200,Data!G$8:G$200,"",2)</f>
        <v/>
      </c>
    </row>
    <row r="109" spans="2:9" x14ac:dyDescent="0.3">
      <c r="B109" t="str" cm="1">
        <f t="array" ref="B109">IFERROR(INDEX(Data!$A$8:$A$200, SMALL(IF(ISNUMBER(Data!$A$8:$A$200), ROW(Data!$A$8:$A$200)-MIN(ROW(Data!$A$8:$G$200))+1, ""), ROW(94:94))), "")</f>
        <v/>
      </c>
      <c r="C109" s="9" t="str">
        <f>_xlfn.XLOOKUP($B109,Data!$A$8:$A$200,Data!B$8:B$200,"",2)</f>
        <v/>
      </c>
      <c r="D109" t="str">
        <f>_xlfn.XLOOKUP($B109,Data!$A$8:$A$200,Data!C$8:C$200,"",2)</f>
        <v/>
      </c>
      <c r="E109" t="str">
        <f>_xlfn.XLOOKUP($B109,Data!$A$8:$A$200,Data!D$8:D$200,"",2)</f>
        <v/>
      </c>
      <c r="F109" t="str">
        <f>IF(_xlfn.XLOOKUP($B109,Data!$A$8:$A$200,Data!H$8:H$200,"",2) = 0, "-", _xlfn.XLOOKUP($B109,Data!$A$8:$A$200,Data!H$8:H$200,"",2))</f>
        <v/>
      </c>
      <c r="G109" s="9" t="str">
        <f>_xlfn.XLOOKUP($B109,Data!$A$8:$A$200,Data!E$8:E$200,"",2)</f>
        <v/>
      </c>
      <c r="H109" s="9" t="str">
        <f>_xlfn.XLOOKUP($B109,Data!$A$8:$A$200,Data!F$8:F$200,"",2)</f>
        <v/>
      </c>
      <c r="I109" s="9" t="str">
        <f>_xlfn.XLOOKUP($B109,Data!$A$8:$A$200,Data!G$8:G$200,"",2)</f>
        <v/>
      </c>
    </row>
    <row r="110" spans="2:9" x14ac:dyDescent="0.3">
      <c r="B110" t="str" cm="1">
        <f t="array" ref="B110">IFERROR(INDEX(Data!$A$8:$A$200, SMALL(IF(ISNUMBER(Data!$A$8:$A$200), ROW(Data!$A$8:$A$200)-MIN(ROW(Data!$A$8:$G$200))+1, ""), ROW(95:95))), "")</f>
        <v/>
      </c>
      <c r="C110" s="9" t="str">
        <f>_xlfn.XLOOKUP($B110,Data!$A$8:$A$200,Data!B$8:B$200,"",2)</f>
        <v/>
      </c>
      <c r="D110" t="str">
        <f>_xlfn.XLOOKUP($B110,Data!$A$8:$A$200,Data!C$8:C$200,"",2)</f>
        <v/>
      </c>
      <c r="E110" t="str">
        <f>_xlfn.XLOOKUP($B110,Data!$A$8:$A$200,Data!D$8:D$200,"",2)</f>
        <v/>
      </c>
      <c r="F110" t="str">
        <f>IF(_xlfn.XLOOKUP($B110,Data!$A$8:$A$200,Data!H$8:H$200,"",2) = 0, "-", _xlfn.XLOOKUP($B110,Data!$A$8:$A$200,Data!H$8:H$200,"",2))</f>
        <v/>
      </c>
      <c r="G110" s="9" t="str">
        <f>_xlfn.XLOOKUP($B110,Data!$A$8:$A$200,Data!E$8:E$200,"",2)</f>
        <v/>
      </c>
      <c r="H110" s="9" t="str">
        <f>_xlfn.XLOOKUP($B110,Data!$A$8:$A$200,Data!F$8:F$200,"",2)</f>
        <v/>
      </c>
      <c r="I110" s="9" t="str">
        <f>_xlfn.XLOOKUP($B110,Data!$A$8:$A$200,Data!G$8:G$200,"",2)</f>
        <v/>
      </c>
    </row>
  </sheetData>
  <mergeCells count="7">
    <mergeCell ref="D2:G2"/>
    <mergeCell ref="D3:G3"/>
    <mergeCell ref="R4:S4"/>
    <mergeCell ref="M2:P2"/>
    <mergeCell ref="M3:P3"/>
    <mergeCell ref="K2:L2"/>
    <mergeCell ref="K3:L3"/>
  </mergeCells>
  <conditionalFormatting sqref="B16:I110">
    <cfRule type="expression" dxfId="2" priority="2" stopIfTrue="1">
      <formula>AND(ROW()=CELL("ROW"),$B16&lt;&gt;"")</formula>
    </cfRule>
    <cfRule type="notContainsBlanks" dxfId="1" priority="5">
      <formula>LEN(TRIM(B16))&gt;0</formula>
    </cfRule>
    <cfRule type="expression" dxfId="0" priority="7">
      <formula xml:space="preserve"> MOD($F16,2) = 0</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xr:uid="{C26BBE7A-0A0C-4015-B85C-5696047AEE65}">
          <x14:formula1>
            <xm:f>Users!$B$3:$B$14</xm:f>
          </x14:formula1>
          <xm:sqref>D2:G2</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142"/>
  <sheetViews>
    <sheetView topLeftCell="A113" zoomScale="94" workbookViewId="0">
      <selection activeCell="A22" sqref="A22"/>
    </sheetView>
  </sheetViews>
  <sheetFormatPr defaultRowHeight="14.4" x14ac:dyDescent="0.3"/>
  <cols>
    <col min="1" max="1" width="16.44140625" customWidth="1"/>
    <col min="2" max="2" width="11.5546875" bestFit="1" customWidth="1"/>
    <col min="3" max="3" width="43.44140625" bestFit="1" customWidth="1"/>
    <col min="4" max="4" width="15.77734375" bestFit="1" customWidth="1"/>
    <col min="5" max="5" width="11.33203125" bestFit="1" customWidth="1"/>
    <col min="6" max="6" width="7.109375" bestFit="1" customWidth="1"/>
    <col min="7" max="7" width="6.77734375" bestFit="1" customWidth="1"/>
  </cols>
  <sheetData>
    <row r="1" spans="1:8" ht="57.6" x14ac:dyDescent="0.3">
      <c r="A1" t="s">
        <v>96</v>
      </c>
      <c r="B1" s="1" t="s">
        <v>115</v>
      </c>
    </row>
    <row r="2" spans="1:8" x14ac:dyDescent="0.3">
      <c r="A2" t="s">
        <v>97</v>
      </c>
      <c r="B2" t="s">
        <v>116</v>
      </c>
    </row>
    <row r="4" spans="1:8" x14ac:dyDescent="0.3">
      <c r="A4" t="s">
        <v>0</v>
      </c>
      <c r="B4" t="s">
        <v>1</v>
      </c>
      <c r="C4" t="s">
        <v>2</v>
      </c>
      <c r="D4" t="s">
        <v>3</v>
      </c>
      <c r="E4" t="s">
        <v>4</v>
      </c>
      <c r="F4" t="s">
        <v>5</v>
      </c>
      <c r="G4" t="s">
        <v>6</v>
      </c>
    </row>
    <row r="6" spans="1:8" x14ac:dyDescent="0.3">
      <c r="A6" t="s">
        <v>7</v>
      </c>
      <c r="H6">
        <v>1</v>
      </c>
    </row>
    <row r="8" spans="1:8" x14ac:dyDescent="0.3">
      <c r="A8">
        <v>1</v>
      </c>
      <c r="B8" t="s">
        <v>8</v>
      </c>
      <c r="C8" t="s">
        <v>9</v>
      </c>
      <c r="D8" t="s">
        <v>83</v>
      </c>
      <c r="E8">
        <v>0</v>
      </c>
      <c r="F8" t="s">
        <v>11</v>
      </c>
      <c r="G8" t="s">
        <v>84</v>
      </c>
      <c r="H8">
        <v>1</v>
      </c>
    </row>
    <row r="10" spans="1:8" x14ac:dyDescent="0.3">
      <c r="A10">
        <v>2</v>
      </c>
      <c r="B10" t="s">
        <v>85</v>
      </c>
      <c r="C10" t="s">
        <v>12</v>
      </c>
      <c r="D10" t="s">
        <v>83</v>
      </c>
      <c r="E10">
        <v>0</v>
      </c>
      <c r="F10" t="s">
        <v>11</v>
      </c>
      <c r="G10" t="s">
        <v>13</v>
      </c>
      <c r="H10">
        <v>1</v>
      </c>
    </row>
    <row r="12" spans="1:8" x14ac:dyDescent="0.3">
      <c r="A12">
        <v>3</v>
      </c>
      <c r="B12" t="s">
        <v>14</v>
      </c>
      <c r="C12" t="s">
        <v>15</v>
      </c>
      <c r="D12" t="s">
        <v>83</v>
      </c>
      <c r="E12">
        <v>10</v>
      </c>
      <c r="F12" t="s">
        <v>16</v>
      </c>
      <c r="G12" t="s">
        <v>13</v>
      </c>
      <c r="H12">
        <v>1</v>
      </c>
    </row>
    <row r="14" spans="1:8" x14ac:dyDescent="0.3">
      <c r="A14">
        <v>4</v>
      </c>
      <c r="B14" t="s">
        <v>17</v>
      </c>
      <c r="C14" t="s">
        <v>18</v>
      </c>
      <c r="D14" t="s">
        <v>86</v>
      </c>
      <c r="E14">
        <v>7</v>
      </c>
      <c r="F14" t="s">
        <v>20</v>
      </c>
      <c r="G14" t="s">
        <v>84</v>
      </c>
      <c r="H14">
        <v>1</v>
      </c>
    </row>
    <row r="16" spans="1:8" x14ac:dyDescent="0.3">
      <c r="A16">
        <v>5</v>
      </c>
      <c r="B16" t="s">
        <v>21</v>
      </c>
      <c r="C16" t="s">
        <v>22</v>
      </c>
      <c r="D16" t="s">
        <v>83</v>
      </c>
      <c r="E16">
        <v>10</v>
      </c>
      <c r="F16" t="s">
        <v>23</v>
      </c>
      <c r="G16" t="s">
        <v>13</v>
      </c>
      <c r="H16">
        <v>1</v>
      </c>
    </row>
    <row r="18" spans="1:8" x14ac:dyDescent="0.3">
      <c r="A18" t="s">
        <v>103</v>
      </c>
      <c r="B18">
        <v>27</v>
      </c>
      <c r="C18" t="s">
        <v>104</v>
      </c>
      <c r="D18">
        <v>6.89</v>
      </c>
      <c r="E18" t="s">
        <v>102</v>
      </c>
      <c r="F18">
        <v>6.89</v>
      </c>
      <c r="H18">
        <v>1</v>
      </c>
    </row>
    <row r="20" spans="1:8" x14ac:dyDescent="0.3">
      <c r="A20" t="s">
        <v>24</v>
      </c>
      <c r="H20">
        <v>2</v>
      </c>
    </row>
    <row r="22" spans="1:8" x14ac:dyDescent="0.3">
      <c r="A22">
        <v>6</v>
      </c>
      <c r="B22" t="s">
        <v>112</v>
      </c>
      <c r="C22" t="s">
        <v>25</v>
      </c>
      <c r="D22" t="s">
        <v>86</v>
      </c>
      <c r="E22">
        <v>10</v>
      </c>
      <c r="F22" t="s">
        <v>20</v>
      </c>
      <c r="G22" t="s">
        <v>13</v>
      </c>
      <c r="H22">
        <v>2</v>
      </c>
    </row>
    <row r="24" spans="1:8" x14ac:dyDescent="0.3">
      <c r="A24">
        <v>7</v>
      </c>
      <c r="B24" t="s">
        <v>26</v>
      </c>
      <c r="C24" t="s">
        <v>27</v>
      </c>
      <c r="D24" t="s">
        <v>87</v>
      </c>
      <c r="E24">
        <v>8</v>
      </c>
      <c r="F24" t="s">
        <v>29</v>
      </c>
      <c r="G24" t="s">
        <v>13</v>
      </c>
      <c r="H24">
        <v>2</v>
      </c>
    </row>
    <row r="26" spans="1:8" x14ac:dyDescent="0.3">
      <c r="A26">
        <v>8</v>
      </c>
      <c r="B26" t="s">
        <v>30</v>
      </c>
      <c r="C26" t="s">
        <v>88</v>
      </c>
      <c r="D26" t="s">
        <v>87</v>
      </c>
      <c r="E26">
        <v>9</v>
      </c>
      <c r="F26" t="s">
        <v>29</v>
      </c>
      <c r="G26" t="s">
        <v>13</v>
      </c>
      <c r="H26">
        <v>2</v>
      </c>
    </row>
    <row r="28" spans="1:8" x14ac:dyDescent="0.3">
      <c r="A28">
        <v>9</v>
      </c>
      <c r="B28" t="s">
        <v>31</v>
      </c>
      <c r="C28" t="s">
        <v>32</v>
      </c>
      <c r="D28" t="s">
        <v>86</v>
      </c>
      <c r="E28">
        <v>12</v>
      </c>
      <c r="F28" t="s">
        <v>29</v>
      </c>
      <c r="G28" t="s">
        <v>13</v>
      </c>
      <c r="H28">
        <v>2</v>
      </c>
    </row>
    <row r="30" spans="1:8" x14ac:dyDescent="0.3">
      <c r="A30">
        <v>10</v>
      </c>
      <c r="B30" t="s">
        <v>33</v>
      </c>
      <c r="C30" t="s">
        <v>34</v>
      </c>
      <c r="D30" t="s">
        <v>83</v>
      </c>
      <c r="E30">
        <v>10</v>
      </c>
      <c r="F30" t="s">
        <v>29</v>
      </c>
      <c r="G30" t="s">
        <v>84</v>
      </c>
      <c r="H30">
        <v>2</v>
      </c>
    </row>
    <row r="32" spans="1:8" x14ac:dyDescent="0.3">
      <c r="A32">
        <v>11</v>
      </c>
      <c r="B32" t="s">
        <v>35</v>
      </c>
      <c r="C32" t="s">
        <v>36</v>
      </c>
      <c r="D32" t="s">
        <v>83</v>
      </c>
      <c r="E32">
        <v>0</v>
      </c>
      <c r="F32" t="s">
        <v>11</v>
      </c>
      <c r="G32" t="s">
        <v>13</v>
      </c>
      <c r="H32">
        <v>2</v>
      </c>
    </row>
    <row r="34" spans="1:8" x14ac:dyDescent="0.3">
      <c r="A34">
        <v>12</v>
      </c>
      <c r="B34" t="s">
        <v>37</v>
      </c>
      <c r="C34" t="s">
        <v>38</v>
      </c>
      <c r="D34" t="s">
        <v>83</v>
      </c>
      <c r="E34">
        <v>10</v>
      </c>
      <c r="F34" t="s">
        <v>16</v>
      </c>
      <c r="G34" t="s">
        <v>13</v>
      </c>
      <c r="H34">
        <v>2</v>
      </c>
    </row>
    <row r="36" spans="1:8" x14ac:dyDescent="0.3">
      <c r="A36">
        <v>13</v>
      </c>
      <c r="B36" t="s">
        <v>110</v>
      </c>
      <c r="C36" t="s">
        <v>111</v>
      </c>
      <c r="D36" t="s">
        <v>83</v>
      </c>
      <c r="E36">
        <v>0</v>
      </c>
      <c r="F36" t="s">
        <v>11</v>
      </c>
      <c r="G36" t="s">
        <v>84</v>
      </c>
      <c r="H36">
        <v>2</v>
      </c>
    </row>
    <row r="38" spans="1:8" x14ac:dyDescent="0.3">
      <c r="A38">
        <v>14</v>
      </c>
      <c r="B38" t="s">
        <v>39</v>
      </c>
      <c r="C38" t="s">
        <v>40</v>
      </c>
      <c r="D38" t="s">
        <v>83</v>
      </c>
      <c r="E38">
        <v>10</v>
      </c>
      <c r="F38" t="s">
        <v>16</v>
      </c>
      <c r="G38" t="s">
        <v>84</v>
      </c>
      <c r="H38">
        <v>2</v>
      </c>
    </row>
    <row r="40" spans="1:8" x14ac:dyDescent="0.3">
      <c r="A40">
        <v>15</v>
      </c>
      <c r="B40" t="s">
        <v>89</v>
      </c>
      <c r="C40" t="s">
        <v>41</v>
      </c>
      <c r="D40" t="s">
        <v>83</v>
      </c>
      <c r="E40">
        <v>4</v>
      </c>
      <c r="F40" t="s">
        <v>29</v>
      </c>
      <c r="G40" t="s">
        <v>13</v>
      </c>
      <c r="H40">
        <v>2</v>
      </c>
    </row>
    <row r="42" spans="1:8" x14ac:dyDescent="0.3">
      <c r="A42" t="s">
        <v>103</v>
      </c>
      <c r="B42">
        <v>73</v>
      </c>
      <c r="C42" t="s">
        <v>104</v>
      </c>
      <c r="D42">
        <v>8.32</v>
      </c>
      <c r="E42" t="s">
        <v>102</v>
      </c>
      <c r="F42">
        <v>7.93</v>
      </c>
      <c r="H42">
        <v>2</v>
      </c>
    </row>
    <row r="44" spans="1:8" x14ac:dyDescent="0.3">
      <c r="A44" t="s">
        <v>42</v>
      </c>
      <c r="H44">
        <v>0</v>
      </c>
    </row>
    <row r="46" spans="1:8" x14ac:dyDescent="0.3">
      <c r="A46">
        <v>16</v>
      </c>
      <c r="B46" t="s">
        <v>43</v>
      </c>
      <c r="C46" t="s">
        <v>90</v>
      </c>
      <c r="D46" t="s">
        <v>83</v>
      </c>
      <c r="E46">
        <v>3</v>
      </c>
      <c r="F46" t="s">
        <v>29</v>
      </c>
      <c r="G46" t="s">
        <v>13</v>
      </c>
      <c r="H46">
        <v>0</v>
      </c>
    </row>
    <row r="48" spans="1:8" x14ac:dyDescent="0.3">
      <c r="A48" t="s">
        <v>103</v>
      </c>
      <c r="B48">
        <v>3</v>
      </c>
      <c r="C48" t="s">
        <v>104</v>
      </c>
      <c r="D48">
        <v>9</v>
      </c>
      <c r="E48" t="s">
        <v>102</v>
      </c>
      <c r="F48">
        <v>7.96</v>
      </c>
      <c r="H48">
        <v>0</v>
      </c>
    </row>
    <row r="50" spans="1:8" x14ac:dyDescent="0.3">
      <c r="A50" t="s">
        <v>44</v>
      </c>
      <c r="H50">
        <v>3</v>
      </c>
    </row>
    <row r="52" spans="1:8" x14ac:dyDescent="0.3">
      <c r="A52">
        <v>17</v>
      </c>
      <c r="B52" t="s">
        <v>45</v>
      </c>
      <c r="C52" t="s">
        <v>46</v>
      </c>
      <c r="D52" t="s">
        <v>87</v>
      </c>
      <c r="E52">
        <v>11</v>
      </c>
      <c r="F52" t="s">
        <v>16</v>
      </c>
      <c r="G52" t="s">
        <v>13</v>
      </c>
      <c r="H52">
        <v>3</v>
      </c>
    </row>
    <row r="54" spans="1:8" x14ac:dyDescent="0.3">
      <c r="A54">
        <v>18</v>
      </c>
      <c r="B54" t="s">
        <v>47</v>
      </c>
      <c r="C54" t="s">
        <v>48</v>
      </c>
      <c r="D54" t="s">
        <v>87</v>
      </c>
      <c r="E54">
        <v>10</v>
      </c>
      <c r="F54" t="s">
        <v>29</v>
      </c>
      <c r="G54" t="s">
        <v>13</v>
      </c>
      <c r="H54">
        <v>3</v>
      </c>
    </row>
    <row r="56" spans="1:8" x14ac:dyDescent="0.3">
      <c r="A56">
        <v>19</v>
      </c>
      <c r="B56" t="s">
        <v>49</v>
      </c>
      <c r="C56" t="s">
        <v>50</v>
      </c>
      <c r="D56" t="s">
        <v>86</v>
      </c>
      <c r="E56">
        <v>11</v>
      </c>
      <c r="F56" t="s">
        <v>51</v>
      </c>
      <c r="G56" t="s">
        <v>84</v>
      </c>
      <c r="H56">
        <v>3</v>
      </c>
    </row>
    <row r="58" spans="1:8" x14ac:dyDescent="0.3">
      <c r="A58">
        <v>20</v>
      </c>
      <c r="B58" t="s">
        <v>52</v>
      </c>
      <c r="C58" t="s">
        <v>91</v>
      </c>
      <c r="D58" t="s">
        <v>87</v>
      </c>
      <c r="E58">
        <v>9</v>
      </c>
      <c r="F58" t="s">
        <v>23</v>
      </c>
      <c r="G58" t="s">
        <v>84</v>
      </c>
      <c r="H58">
        <v>3</v>
      </c>
    </row>
    <row r="60" spans="1:8" x14ac:dyDescent="0.3">
      <c r="A60">
        <v>21</v>
      </c>
      <c r="B60" t="s">
        <v>53</v>
      </c>
      <c r="C60" t="s">
        <v>54</v>
      </c>
      <c r="D60" t="s">
        <v>83</v>
      </c>
      <c r="E60">
        <v>9</v>
      </c>
      <c r="F60" t="s">
        <v>20</v>
      </c>
      <c r="G60" t="s">
        <v>13</v>
      </c>
      <c r="H60">
        <v>3</v>
      </c>
    </row>
    <row r="62" spans="1:8" x14ac:dyDescent="0.3">
      <c r="A62" t="s">
        <v>103</v>
      </c>
      <c r="B62">
        <v>50</v>
      </c>
      <c r="C62" t="s">
        <v>104</v>
      </c>
      <c r="D62">
        <v>8.06</v>
      </c>
      <c r="E62" t="s">
        <v>102</v>
      </c>
      <c r="F62">
        <v>7.99</v>
      </c>
      <c r="H62">
        <v>3</v>
      </c>
    </row>
    <row r="64" spans="1:8" x14ac:dyDescent="0.3">
      <c r="A64" t="s">
        <v>55</v>
      </c>
      <c r="H64">
        <v>4</v>
      </c>
    </row>
    <row r="66" spans="1:8" x14ac:dyDescent="0.3">
      <c r="A66">
        <v>22</v>
      </c>
      <c r="B66" t="s">
        <v>56</v>
      </c>
      <c r="C66" t="s">
        <v>57</v>
      </c>
      <c r="D66" t="s">
        <v>87</v>
      </c>
      <c r="E66">
        <v>11</v>
      </c>
      <c r="F66" t="s">
        <v>29</v>
      </c>
      <c r="G66" t="s">
        <v>84</v>
      </c>
      <c r="H66">
        <v>4</v>
      </c>
    </row>
    <row r="68" spans="1:8" x14ac:dyDescent="0.3">
      <c r="A68">
        <v>23</v>
      </c>
      <c r="B68" t="s">
        <v>58</v>
      </c>
      <c r="C68" t="s">
        <v>59</v>
      </c>
      <c r="D68" t="s">
        <v>87</v>
      </c>
      <c r="E68">
        <v>11</v>
      </c>
      <c r="F68" t="s">
        <v>20</v>
      </c>
      <c r="G68" t="s">
        <v>13</v>
      </c>
      <c r="H68">
        <v>4</v>
      </c>
    </row>
    <row r="70" spans="1:8" x14ac:dyDescent="0.3">
      <c r="A70">
        <v>24</v>
      </c>
      <c r="B70" t="s">
        <v>60</v>
      </c>
      <c r="C70" t="s">
        <v>61</v>
      </c>
      <c r="D70" t="s">
        <v>87</v>
      </c>
      <c r="E70">
        <v>9</v>
      </c>
      <c r="F70" t="s">
        <v>29</v>
      </c>
      <c r="G70" t="s">
        <v>84</v>
      </c>
      <c r="H70">
        <v>4</v>
      </c>
    </row>
    <row r="72" spans="1:8" x14ac:dyDescent="0.3">
      <c r="A72">
        <v>25</v>
      </c>
      <c r="B72" t="s">
        <v>62</v>
      </c>
      <c r="C72" t="s">
        <v>63</v>
      </c>
      <c r="D72" t="s">
        <v>87</v>
      </c>
      <c r="E72">
        <v>10</v>
      </c>
      <c r="F72" t="s">
        <v>20</v>
      </c>
      <c r="G72" t="s">
        <v>92</v>
      </c>
      <c r="H72">
        <v>4</v>
      </c>
    </row>
    <row r="74" spans="1:8" x14ac:dyDescent="0.3">
      <c r="A74">
        <v>26</v>
      </c>
      <c r="B74" t="s">
        <v>117</v>
      </c>
      <c r="C74" t="s">
        <v>118</v>
      </c>
      <c r="D74" t="s">
        <v>93</v>
      </c>
      <c r="E74">
        <v>9</v>
      </c>
      <c r="F74" t="s">
        <v>20</v>
      </c>
      <c r="G74" t="s">
        <v>13</v>
      </c>
      <c r="H74">
        <v>4</v>
      </c>
    </row>
    <row r="76" spans="1:8" x14ac:dyDescent="0.3">
      <c r="A76">
        <v>27</v>
      </c>
      <c r="B76" t="s">
        <v>108</v>
      </c>
      <c r="C76" t="s">
        <v>109</v>
      </c>
      <c r="D76" t="s">
        <v>83</v>
      </c>
      <c r="E76">
        <v>9</v>
      </c>
      <c r="F76" t="s">
        <v>20</v>
      </c>
      <c r="G76" t="s">
        <v>84</v>
      </c>
      <c r="H76">
        <v>4</v>
      </c>
    </row>
    <row r="78" spans="1:8" x14ac:dyDescent="0.3">
      <c r="A78" t="s">
        <v>103</v>
      </c>
      <c r="B78">
        <v>59</v>
      </c>
      <c r="C78" t="s">
        <v>104</v>
      </c>
      <c r="D78">
        <v>8.34</v>
      </c>
      <c r="E78" t="s">
        <v>102</v>
      </c>
      <c r="F78">
        <v>8.09</v>
      </c>
      <c r="H78">
        <v>4</v>
      </c>
    </row>
    <row r="80" spans="1:8" x14ac:dyDescent="0.3">
      <c r="A80" t="s">
        <v>65</v>
      </c>
      <c r="H80">
        <v>5</v>
      </c>
    </row>
    <row r="82" spans="1:8" x14ac:dyDescent="0.3">
      <c r="A82">
        <v>28</v>
      </c>
      <c r="B82" t="s">
        <v>66</v>
      </c>
      <c r="C82" t="s">
        <v>67</v>
      </c>
      <c r="D82" t="s">
        <v>83</v>
      </c>
      <c r="E82">
        <v>9</v>
      </c>
      <c r="F82" t="s">
        <v>29</v>
      </c>
      <c r="G82" t="s">
        <v>84</v>
      </c>
      <c r="H82">
        <v>5</v>
      </c>
    </row>
    <row r="84" spans="1:8" x14ac:dyDescent="0.3">
      <c r="A84">
        <v>29</v>
      </c>
      <c r="B84" t="s">
        <v>68</v>
      </c>
      <c r="C84" t="s">
        <v>69</v>
      </c>
      <c r="D84" t="s">
        <v>87</v>
      </c>
      <c r="E84">
        <v>12</v>
      </c>
      <c r="F84" t="s">
        <v>20</v>
      </c>
      <c r="G84" t="s">
        <v>92</v>
      </c>
      <c r="H84">
        <v>5</v>
      </c>
    </row>
    <row r="86" spans="1:8" x14ac:dyDescent="0.3">
      <c r="A86">
        <v>30</v>
      </c>
      <c r="B86" t="s">
        <v>70</v>
      </c>
      <c r="C86" t="s">
        <v>71</v>
      </c>
      <c r="D86" t="s">
        <v>87</v>
      </c>
      <c r="E86">
        <v>11</v>
      </c>
      <c r="F86" t="s">
        <v>20</v>
      </c>
      <c r="G86" t="s">
        <v>13</v>
      </c>
      <c r="H86">
        <v>5</v>
      </c>
    </row>
    <row r="88" spans="1:8" x14ac:dyDescent="0.3">
      <c r="A88">
        <v>31</v>
      </c>
      <c r="B88" t="s">
        <v>119</v>
      </c>
      <c r="C88" t="s">
        <v>120</v>
      </c>
      <c r="D88" t="s">
        <v>87</v>
      </c>
      <c r="E88">
        <v>9</v>
      </c>
      <c r="F88" t="s">
        <v>29</v>
      </c>
      <c r="G88" t="s">
        <v>92</v>
      </c>
      <c r="H88">
        <v>5</v>
      </c>
    </row>
    <row r="90" spans="1:8" x14ac:dyDescent="0.3">
      <c r="A90">
        <v>32</v>
      </c>
      <c r="B90" t="s">
        <v>72</v>
      </c>
      <c r="C90" t="s">
        <v>73</v>
      </c>
      <c r="D90" t="s">
        <v>87</v>
      </c>
      <c r="E90">
        <v>11</v>
      </c>
      <c r="F90" t="s">
        <v>29</v>
      </c>
      <c r="G90" t="s">
        <v>13</v>
      </c>
      <c r="H90">
        <v>5</v>
      </c>
    </row>
    <row r="92" spans="1:8" x14ac:dyDescent="0.3">
      <c r="A92">
        <v>33</v>
      </c>
      <c r="B92" t="s">
        <v>74</v>
      </c>
      <c r="C92" t="s">
        <v>75</v>
      </c>
      <c r="D92" t="s">
        <v>87</v>
      </c>
      <c r="E92">
        <v>4</v>
      </c>
      <c r="F92" t="s">
        <v>29</v>
      </c>
      <c r="G92" t="s">
        <v>13</v>
      </c>
      <c r="H92">
        <v>5</v>
      </c>
    </row>
    <row r="94" spans="1:8" x14ac:dyDescent="0.3">
      <c r="A94">
        <v>34</v>
      </c>
      <c r="B94" t="s">
        <v>76</v>
      </c>
      <c r="C94" t="s">
        <v>77</v>
      </c>
      <c r="D94" t="s">
        <v>87</v>
      </c>
      <c r="E94">
        <v>4</v>
      </c>
      <c r="F94" t="s">
        <v>29</v>
      </c>
      <c r="G94" t="s">
        <v>13</v>
      </c>
      <c r="H94">
        <v>5</v>
      </c>
    </row>
    <row r="96" spans="1:8" x14ac:dyDescent="0.3">
      <c r="A96" t="s">
        <v>103</v>
      </c>
      <c r="B96">
        <v>60</v>
      </c>
      <c r="C96" t="s">
        <v>104</v>
      </c>
      <c r="D96">
        <v>8.6199999999999992</v>
      </c>
      <c r="E96" t="s">
        <v>102</v>
      </c>
      <c r="F96">
        <v>8.2100000000000009</v>
      </c>
      <c r="H96">
        <v>5</v>
      </c>
    </row>
    <row r="98" spans="1:8" x14ac:dyDescent="0.3">
      <c r="A98" t="s">
        <v>121</v>
      </c>
      <c r="H98">
        <v>6</v>
      </c>
    </row>
    <row r="100" spans="1:8" x14ac:dyDescent="0.3">
      <c r="A100">
        <v>35</v>
      </c>
      <c r="B100" t="s">
        <v>122</v>
      </c>
      <c r="C100" t="s">
        <v>123</v>
      </c>
      <c r="D100" t="s">
        <v>87</v>
      </c>
      <c r="E100">
        <v>11</v>
      </c>
      <c r="F100" t="s">
        <v>29</v>
      </c>
      <c r="G100" t="s">
        <v>13</v>
      </c>
      <c r="H100">
        <v>6</v>
      </c>
    </row>
    <row r="102" spans="1:8" x14ac:dyDescent="0.3">
      <c r="A102">
        <v>36</v>
      </c>
      <c r="B102" t="s">
        <v>124</v>
      </c>
      <c r="C102" t="s">
        <v>125</v>
      </c>
      <c r="D102" t="s">
        <v>87</v>
      </c>
      <c r="E102">
        <v>4</v>
      </c>
      <c r="F102" t="s">
        <v>29</v>
      </c>
      <c r="G102" t="s">
        <v>84</v>
      </c>
      <c r="H102">
        <v>6</v>
      </c>
    </row>
    <row r="104" spans="1:8" x14ac:dyDescent="0.3">
      <c r="A104">
        <v>37</v>
      </c>
      <c r="B104" t="s">
        <v>126</v>
      </c>
      <c r="C104" t="s">
        <v>127</v>
      </c>
      <c r="D104" t="s">
        <v>87</v>
      </c>
      <c r="E104">
        <v>9</v>
      </c>
      <c r="F104" t="s">
        <v>29</v>
      </c>
      <c r="G104" t="s">
        <v>13</v>
      </c>
      <c r="H104">
        <v>6</v>
      </c>
    </row>
    <row r="106" spans="1:8" x14ac:dyDescent="0.3">
      <c r="A106">
        <v>38</v>
      </c>
      <c r="B106" t="s">
        <v>128</v>
      </c>
      <c r="C106" t="s">
        <v>129</v>
      </c>
      <c r="D106" t="s">
        <v>87</v>
      </c>
      <c r="E106">
        <v>10</v>
      </c>
      <c r="F106" t="s">
        <v>51</v>
      </c>
      <c r="G106" t="s">
        <v>84</v>
      </c>
      <c r="H106">
        <v>6</v>
      </c>
    </row>
    <row r="108" spans="1:8" x14ac:dyDescent="0.3">
      <c r="A108">
        <v>39</v>
      </c>
      <c r="B108" t="s">
        <v>130</v>
      </c>
      <c r="C108" t="s">
        <v>131</v>
      </c>
      <c r="D108" t="s">
        <v>87</v>
      </c>
      <c r="E108">
        <v>9</v>
      </c>
      <c r="F108" t="s">
        <v>29</v>
      </c>
      <c r="G108" t="s">
        <v>13</v>
      </c>
      <c r="H108">
        <v>6</v>
      </c>
    </row>
    <row r="110" spans="1:8" x14ac:dyDescent="0.3">
      <c r="A110">
        <v>40</v>
      </c>
      <c r="B110" t="s">
        <v>132</v>
      </c>
      <c r="C110" t="s">
        <v>133</v>
      </c>
      <c r="D110" t="s">
        <v>83</v>
      </c>
      <c r="E110">
        <v>9</v>
      </c>
      <c r="F110" t="s">
        <v>16</v>
      </c>
      <c r="G110" t="s">
        <v>13</v>
      </c>
      <c r="H110">
        <v>6</v>
      </c>
    </row>
    <row r="112" spans="1:8" x14ac:dyDescent="0.3">
      <c r="A112">
        <v>41</v>
      </c>
      <c r="B112" t="s">
        <v>134</v>
      </c>
      <c r="C112" t="s">
        <v>135</v>
      </c>
      <c r="D112" t="s">
        <v>93</v>
      </c>
      <c r="E112">
        <v>12</v>
      </c>
      <c r="F112" t="s">
        <v>29</v>
      </c>
      <c r="G112" t="s">
        <v>92</v>
      </c>
      <c r="H112">
        <v>6</v>
      </c>
    </row>
    <row r="114" spans="1:8" x14ac:dyDescent="0.3">
      <c r="A114" t="s">
        <v>103</v>
      </c>
      <c r="B114">
        <v>64</v>
      </c>
      <c r="C114" t="s">
        <v>104</v>
      </c>
      <c r="D114">
        <v>8.8800000000000008</v>
      </c>
      <c r="E114" t="s">
        <v>102</v>
      </c>
      <c r="F114">
        <v>8.33</v>
      </c>
      <c r="H114">
        <v>6</v>
      </c>
    </row>
    <row r="116" spans="1:8" x14ac:dyDescent="0.3">
      <c r="A116" t="s">
        <v>136</v>
      </c>
      <c r="H116">
        <v>7</v>
      </c>
    </row>
    <row r="118" spans="1:8" x14ac:dyDescent="0.3">
      <c r="A118">
        <v>42</v>
      </c>
      <c r="B118" t="s">
        <v>113</v>
      </c>
      <c r="H118">
        <v>7</v>
      </c>
    </row>
    <row r="120" spans="1:8" x14ac:dyDescent="0.3">
      <c r="A120">
        <v>43</v>
      </c>
      <c r="B120" t="s">
        <v>137</v>
      </c>
      <c r="H120">
        <v>7</v>
      </c>
    </row>
    <row r="122" spans="1:8" x14ac:dyDescent="0.3">
      <c r="A122">
        <v>44</v>
      </c>
      <c r="B122" t="s">
        <v>114</v>
      </c>
      <c r="H122">
        <v>7</v>
      </c>
    </row>
    <row r="124" spans="1:8" x14ac:dyDescent="0.3">
      <c r="A124">
        <v>45</v>
      </c>
      <c r="B124" t="s">
        <v>138</v>
      </c>
      <c r="H124">
        <v>7</v>
      </c>
    </row>
    <row r="126" spans="1:8" x14ac:dyDescent="0.3">
      <c r="A126">
        <v>46</v>
      </c>
      <c r="B126" t="s">
        <v>139</v>
      </c>
      <c r="H126">
        <v>7</v>
      </c>
    </row>
    <row r="128" spans="1:8" x14ac:dyDescent="0.3">
      <c r="A128" t="s">
        <v>103</v>
      </c>
      <c r="B128">
        <v>0</v>
      </c>
      <c r="C128" t="s">
        <v>104</v>
      </c>
      <c r="D128">
        <v>0</v>
      </c>
      <c r="E128" t="s">
        <v>102</v>
      </c>
      <c r="F128">
        <v>8.33</v>
      </c>
      <c r="H128">
        <v>7</v>
      </c>
    </row>
    <row r="130" spans="1:8" x14ac:dyDescent="0.3">
      <c r="A130" t="s">
        <v>78</v>
      </c>
      <c r="H130">
        <v>0</v>
      </c>
    </row>
    <row r="134" spans="1:8" x14ac:dyDescent="0.3">
      <c r="A134" t="s">
        <v>79</v>
      </c>
      <c r="B134" t="s">
        <v>19</v>
      </c>
      <c r="C134" t="s">
        <v>28</v>
      </c>
      <c r="D134" t="s">
        <v>10</v>
      </c>
      <c r="E134" t="s">
        <v>64</v>
      </c>
      <c r="F134" t="s">
        <v>80</v>
      </c>
    </row>
    <row r="136" spans="1:8" x14ac:dyDescent="0.3">
      <c r="A136" t="s">
        <v>81</v>
      </c>
      <c r="B136">
        <v>40</v>
      </c>
      <c r="C136">
        <v>182</v>
      </c>
      <c r="D136">
        <v>93</v>
      </c>
      <c r="E136">
        <v>21</v>
      </c>
      <c r="F136">
        <v>0</v>
      </c>
      <c r="H136">
        <v>0</v>
      </c>
    </row>
    <row r="138" spans="1:8" x14ac:dyDescent="0.3">
      <c r="A138" t="s">
        <v>103</v>
      </c>
      <c r="B138">
        <v>0</v>
      </c>
      <c r="C138" t="s">
        <v>104</v>
      </c>
      <c r="D138">
        <v>0</v>
      </c>
      <c r="E138" t="s">
        <v>102</v>
      </c>
      <c r="F138">
        <v>8.33</v>
      </c>
      <c r="H138">
        <v>0</v>
      </c>
    </row>
    <row r="140" spans="1:8" x14ac:dyDescent="0.3">
      <c r="A140" t="s">
        <v>140</v>
      </c>
      <c r="H140">
        <v>0</v>
      </c>
    </row>
    <row r="142" spans="1:8" x14ac:dyDescent="0.3">
      <c r="H142">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D5367-1684-4620-9D71-AB5FD39F16FE}">
  <sheetPr codeName="Sheet3"/>
  <dimension ref="B2:C6"/>
  <sheetViews>
    <sheetView workbookViewId="0">
      <selection activeCell="B17" sqref="B17"/>
    </sheetView>
  </sheetViews>
  <sheetFormatPr defaultRowHeight="14.4" x14ac:dyDescent="0.3"/>
  <cols>
    <col min="2" max="2" width="11.77734375" bestFit="1" customWidth="1"/>
    <col min="3" max="3" width="13.88671875" bestFit="1" customWidth="1"/>
  </cols>
  <sheetData>
    <row r="2" spans="2:3" x14ac:dyDescent="0.3">
      <c r="B2" s="13" t="s">
        <v>94</v>
      </c>
      <c r="C2" s="13" t="s">
        <v>95</v>
      </c>
    </row>
    <row r="3" spans="2:3" ht="15" customHeight="1" x14ac:dyDescent="0.3"/>
    <row r="4" spans="2:3" ht="15" customHeight="1" x14ac:dyDescent="0.3"/>
    <row r="5" spans="2:3" ht="15" customHeight="1" x14ac:dyDescent="0.3"/>
    <row r="6" spans="2:3" ht="15" customHeight="1" x14ac:dyDescent="0.3"/>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82DB0D-16FC-4DDE-A81E-7E1DBA7487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Users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Khushdev Yogi</dc:creator>
  <cp:lastModifiedBy>Khushdev Yogi</cp:lastModifiedBy>
  <dcterms:created xsi:type="dcterms:W3CDTF">2015-06-05T18:17:20Z</dcterms:created>
  <dcterms:modified xsi:type="dcterms:W3CDTF">2024-08-20T00:57:23Z</dcterms:modified>
</cp:coreProperties>
</file>